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c15ef2e032f1e9/Desktop/"/>
    </mc:Choice>
  </mc:AlternateContent>
  <xr:revisionPtr revIDLastSave="0" documentId="8_{9B6D3249-27B9-4250-AA14-071C62926CF9}" xr6:coauthVersionLast="47" xr6:coauthVersionMax="47" xr10:uidLastSave="{00000000-0000-0000-0000-000000000000}"/>
  <bookViews>
    <workbookView xWindow="-108" yWindow="-108" windowWidth="23256" windowHeight="13896" xr2:uid="{D2FA48FA-C59F-417C-BC37-FF6EBAFD4CB6}"/>
  </bookViews>
  <sheets>
    <sheet name="Terminal Norte_pesados" sheetId="4" r:id="rId1"/>
    <sheet name="TGraneis Solidos_pesados" sheetId="1" r:id="rId2"/>
    <sheet name="TGraneis_Liquidos_pesados" sheetId="3" r:id="rId3"/>
  </sheets>
  <externalReferences>
    <externalReference r:id="rId4"/>
    <externalReference r:id="rId5"/>
    <externalReference r:id="rId6"/>
  </externalReferences>
  <definedNames>
    <definedName name="AprSun1" localSheetId="0">DATE('Terminal Norte_pesados'!CalendarYear,4,1)-WEEKDAY(DATE('Terminal Norte_pesados'!CalendarYear,4,1))+1</definedName>
    <definedName name="AprSun1" localSheetId="2">DATE(TGraneis_Liquidos_pesados!CalendarYear,4,1)-WEEKDAY(DATE(TGraneis_Liquidos_pesados!CalendarYear,4,1))+1</definedName>
    <definedName name="AprSun1">DATE(CalendarYear,4,1)-WEEKDAY(DATE(CalendarYear,4,1))+1</definedName>
    <definedName name="AugSun1" localSheetId="0">DATE('Terminal Norte_pesados'!CalendarYear,8,1)-WEEKDAY(DATE('Terminal Norte_pesados'!CalendarYear,8,1))+1</definedName>
    <definedName name="AugSun1" localSheetId="2">DATE(TGraneis_Liquidos_pesados!CalendarYear,8,1)-WEEKDAY(DATE(TGraneis_Liquidos_pesados!CalendarYear,8,1))+1</definedName>
    <definedName name="AugSun1">DATE(CalendarYear,8,1)-WEEKDAY(DATE(CalendarYear,8,1))+1</definedName>
    <definedName name="CalendarYear" localSheetId="0">[1]Jan!$R$2</definedName>
    <definedName name="CalendarYear" localSheetId="2">[2]Jan!$P$2</definedName>
    <definedName name="CalendarYear">[3]Jan!$Q$2</definedName>
    <definedName name="DecSun1" localSheetId="0">DATE('Terminal Norte_pesados'!CalendarYear,12,1)-WEEKDAY(DATE('Terminal Norte_pesados'!CalendarYear,12,1))+1</definedName>
    <definedName name="DecSun1" localSheetId="2">DATE(TGraneis_Liquidos_pesados!CalendarYear,12,1)-WEEKDAY(DATE(TGraneis_Liquidos_pesados!CalendarYear,12,1))+1</definedName>
    <definedName name="DecSun1">DATE(CalendarYear,12,1)-WEEKDAY(DATE(CalendarYear,12,1))+1</definedName>
    <definedName name="FebSun1" localSheetId="0">DATE('Terminal Norte_pesados'!CalendarYear,2,1)-WEEKDAY(DATE('Terminal Norte_pesados'!CalendarYear,2,1))+1</definedName>
    <definedName name="FebSun1" localSheetId="2">DATE(TGraneis_Liquidos_pesados!CalendarYear,2,1)-WEEKDAY(DATE(TGraneis_Liquidos_pesados!CalendarYear,2,1))+1</definedName>
    <definedName name="FebSun1">DATE(CalendarYear,2,1)-WEEKDAY(DATE(CalendarYear,2,1))+1</definedName>
    <definedName name="JanSun1" localSheetId="0">DATE('Terminal Norte_pesados'!CalendarYear,1,1)-WEEKDAY(DATE('Terminal Norte_pesados'!CalendarYear,1,1))+1</definedName>
    <definedName name="JanSun1" localSheetId="2">DATE(TGraneis_Liquidos_pesados!CalendarYear,1,1)-WEEKDAY(DATE(TGraneis_Liquidos_pesados!CalendarYear,1,1))+1</definedName>
    <definedName name="JanSun1">DATE(CalendarYear,1,1)-WEEKDAY(DATE(CalendarYear,1,1))+1</definedName>
    <definedName name="JulSun1" localSheetId="0">DATE('Terminal Norte_pesados'!CalendarYear,7,1)-WEEKDAY(DATE('Terminal Norte_pesados'!CalendarYear,7,1))+1</definedName>
    <definedName name="JulSun1" localSheetId="2">DATE(TGraneis_Liquidos_pesados!CalendarYear,7,1)-WEEKDAY(DATE(TGraneis_Liquidos_pesados!CalendarYear,7,1))+1</definedName>
    <definedName name="JulSun1">DATE(CalendarYear,7,1)-WEEKDAY(DATE(CalendarYear,7,1))+1</definedName>
    <definedName name="JunSun1" localSheetId="0">DATE('Terminal Norte_pesados'!CalendarYear,6,1)-WEEKDAY(DATE('Terminal Norte_pesados'!CalendarYear,6,1))+1</definedName>
    <definedName name="JunSun1" localSheetId="2">DATE(TGraneis_Liquidos_pesados!CalendarYear,6,1)-WEEKDAY(DATE(TGraneis_Liquidos_pesados!CalendarYear,6,1))+1</definedName>
    <definedName name="JunSun1">DATE(CalendarYear,6,1)-WEEKDAY(DATE(CalendarYear,6,1))+1</definedName>
    <definedName name="MarSun1" localSheetId="0">DATE('Terminal Norte_pesados'!CalendarYear,3,1)-WEEKDAY(DATE('Terminal Norte_pesados'!CalendarYear,3,1))+1</definedName>
    <definedName name="MarSun1" localSheetId="2">DATE(TGraneis_Liquidos_pesados!CalendarYear,3,1)-WEEKDAY(DATE(TGraneis_Liquidos_pesados!CalendarYear,3,1))+1</definedName>
    <definedName name="MarSun1">DATE(CalendarYear,3,1)-WEEKDAY(DATE(CalendarYear,3,1))+1</definedName>
    <definedName name="MaySun1" localSheetId="0">DATE('Terminal Norte_pesados'!CalendarYear,5,1)-WEEKDAY(DATE('Terminal Norte_pesados'!CalendarYear,5,1))+1</definedName>
    <definedName name="MaySun1" localSheetId="2">DATE(TGraneis_Liquidos_pesados!CalendarYear,5,1)-WEEKDAY(DATE(TGraneis_Liquidos_pesados!CalendarYear,5,1))+1</definedName>
    <definedName name="MaySun1">DATE(CalendarYear,5,1)-WEEKDAY(DATE(CalendarYear,5,1))+1</definedName>
    <definedName name="NovSun1" localSheetId="0">DATE('Terminal Norte_pesados'!CalendarYear,11,1)-WEEKDAY(DATE('Terminal Norte_pesados'!CalendarYear,11,1))+1</definedName>
    <definedName name="NovSun1" localSheetId="2">DATE(TGraneis_Liquidos_pesados!CalendarYear,11,1)-WEEKDAY(DATE(TGraneis_Liquidos_pesados!CalendarYear,11,1))+1</definedName>
    <definedName name="NovSun1">DATE(CalendarYear,11,1)-WEEKDAY(DATE(CalendarYear,11,1))+1</definedName>
    <definedName name="OctSun1" localSheetId="0">DATE('Terminal Norte_pesados'!CalendarYear,10,1)-WEEKDAY(DATE('Terminal Norte_pesados'!CalendarYear,10,1))+1</definedName>
    <definedName name="OctSun1" localSheetId="2">DATE(TGraneis_Liquidos_pesados!CalendarYear,10,1)-WEEKDAY(DATE(TGraneis_Liquidos_pesados!CalendarYear,10,1))+1</definedName>
    <definedName name="OctSun1">DATE(CalendarYear,10,1)-WEEKDAY(DATE(CalendarYear,10,1))+1</definedName>
    <definedName name="SepSun1" localSheetId="0">DATE('Terminal Norte_pesados'!CalendarYear,9,1)-WEEKDAY(DATE('Terminal Norte_pesados'!CalendarYear,9,1))+1</definedName>
    <definedName name="SepSun1" localSheetId="2">DATE(TGraneis_Liquidos_pesados!CalendarYear,9,1)-WEEKDAY(DATE(TGraneis_Liquidos_pesados!CalendarYear,9,1))+1</definedName>
    <definedName name="SepSun1">DATE(CalendarYear,9,1)-WEEKDAY(DATE(CalendarYear,9,1))+1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4" l="1"/>
  <c r="M38" i="4"/>
  <c r="L38" i="4"/>
  <c r="K38" i="4"/>
  <c r="J38" i="4"/>
  <c r="I38" i="4"/>
  <c r="H38" i="4"/>
  <c r="G38" i="4"/>
  <c r="F38" i="4"/>
  <c r="E38" i="4"/>
  <c r="D38" i="4"/>
  <c r="C38" i="4"/>
  <c r="B38" i="4"/>
  <c r="N38" i="4" s="1"/>
  <c r="N39" i="4" s="1"/>
  <c r="M38" i="3"/>
  <c r="L38" i="3"/>
  <c r="K38" i="3"/>
  <c r="J38" i="3"/>
  <c r="I38" i="3"/>
  <c r="H38" i="3"/>
  <c r="G38" i="3"/>
  <c r="F38" i="3"/>
  <c r="E38" i="3"/>
  <c r="D38" i="3"/>
  <c r="C38" i="3"/>
  <c r="B38" i="3"/>
  <c r="M38" i="1"/>
  <c r="L38" i="1"/>
  <c r="K38" i="1"/>
  <c r="J38" i="1"/>
  <c r="I38" i="1"/>
  <c r="H38" i="1"/>
  <c r="G38" i="1"/>
  <c r="N38" i="1" s="1"/>
  <c r="N39" i="1" s="1"/>
  <c r="F38" i="1"/>
  <c r="E38" i="1"/>
  <c r="D38" i="1"/>
  <c r="C38" i="1"/>
  <c r="B38" i="1"/>
  <c r="N38" i="3" l="1"/>
  <c r="N39" i="3"/>
</calcChain>
</file>

<file path=xl/sharedStrings.xml><?xml version="1.0" encoding="utf-8"?>
<sst xmlns="http://schemas.openxmlformats.org/spreadsheetml/2006/main" count="87" uniqueCount="20">
  <si>
    <t>Registo Pesados - Terminal de Granéis Sólidos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</si>
  <si>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</si>
  <si>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</si>
  <si>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</si>
  <si>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</si>
  <si>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</si>
  <si>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</si>
  <si>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</si>
  <si>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</si>
  <si>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</si>
  <si>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</si>
  <si>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</si>
  <si>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</si>
  <si>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</si>
  <si>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Dia</t>
  </si>
  <si>
    <t>Total de Pesados</t>
  </si>
  <si>
    <t>mês</t>
  </si>
  <si>
    <t>dia</t>
  </si>
  <si>
    <t>Registo Pesados - Terminal de Granéis Líquidos</t>
  </si>
  <si>
    <t>Registo Pesados - Terminal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</si>
</sst>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8" tint="-0.499984740745262"/>
      <name val="Trebuchet MS"/>
      <family val="2"/>
    </font>
    <font>
      <sz val="11"/>
      <name val="Calibri"/>
      <family val="2"/>
      <scheme val="minor"/>
    </font>
    <font>
      <sz val="10"/>
      <color theme="9"/>
      <name val="Trebuchet MS"/>
      <family val="2"/>
    </font>
    <font>
      <sz val="10"/>
      <color theme="8" tint="-0.499984740745262"/>
      <name val="Trebuchet MS"/>
      <family val="2"/>
    </font>
    <font>
      <b/>
      <sz val="10"/>
      <color theme="1" tint="0.34998626667073579"/>
      <name val="Trebuchet MS"/>
      <family val="2"/>
    </font>
    <font>
      <sz val="10"/>
      <color rgb="FFEAE8EA"/>
      <name val="Trebuchet MS"/>
      <family val="2"/>
    </font>
    <font>
      <sz val="10"/>
      <color theme="1"/>
      <name val="Trebuchet MS"/>
      <family val="2"/>
    </font>
    <font>
      <sz val="10"/>
      <color indexed="63"/>
      <name val="Calibri"/>
      <family val="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1454817346722"/>
      </left>
      <right style="thin">
        <color theme="8" tint="0.39988402966399123"/>
      </right>
      <top style="thin">
        <color theme="8" tint="0.39994506668294322"/>
      </top>
      <bottom style="thin">
        <color theme="8" tint="0.39994506668294322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3" fillId="0" borderId="0"/>
    <xf numFmtId="0" fontId="9" fillId="3" borderId="0" applyNumberFormat="0" applyBorder="0" applyAlignment="0" applyProtection="0"/>
  </cellStyleXfs>
  <cellXfs count="21">
    <xf numFmtId="0" fontId="0" fillId="0" borderId="0" xfId="0"/>
    <xf numFmtId="0" fontId="0" fillId="4" borderId="0" xfId="0" applyFill="1"/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top" wrapText="1"/>
    </xf>
    <xf numFmtId="0" fontId="5" fillId="5" borderId="2" xfId="2" applyFont="1" applyFill="1" applyBorder="1" applyAlignment="1">
      <alignment horizontal="center" vertical="top" wrapText="1"/>
    </xf>
    <xf numFmtId="0" fontId="5" fillId="0" borderId="2" xfId="2" applyFont="1" applyBorder="1" applyAlignment="1">
      <alignment horizontal="center" vertical="top" wrapText="1"/>
    </xf>
    <xf numFmtId="0" fontId="6" fillId="5" borderId="2" xfId="2" applyFont="1" applyFill="1" applyBorder="1" applyAlignment="1">
      <alignment horizontal="center" vertical="top" wrapText="1"/>
    </xf>
    <xf numFmtId="0" fontId="4" fillId="0" borderId="0" xfId="2" applyFont="1" applyAlignment="1">
      <alignment horizontal="center" vertical="top" wrapText="1"/>
    </xf>
    <xf numFmtId="0" fontId="7" fillId="6" borderId="0" xfId="2" applyFont="1" applyFill="1" applyAlignment="1">
      <alignment horizontal="center" vertical="top" wrapText="1"/>
    </xf>
    <xf numFmtId="0" fontId="5" fillId="7" borderId="0" xfId="2" applyFont="1" applyFill="1" applyAlignment="1">
      <alignment horizontal="center" vertical="top" wrapText="1"/>
    </xf>
    <xf numFmtId="1" fontId="5" fillId="8" borderId="0" xfId="2" applyNumberFormat="1" applyFont="1" applyFill="1" applyAlignment="1">
      <alignment horizontal="center" vertical="top" wrapText="1"/>
    </xf>
    <xf numFmtId="1" fontId="7" fillId="6" borderId="0" xfId="2" applyNumberFormat="1" applyFont="1" applyFill="1" applyAlignment="1">
      <alignment horizontal="center" vertical="top" wrapText="1"/>
    </xf>
    <xf numFmtId="0" fontId="5" fillId="5" borderId="2" xfId="2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8" fillId="5" borderId="2" xfId="2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9" borderId="2" xfId="2" applyFont="1" applyFill="1" applyBorder="1" applyAlignment="1">
      <alignment horizontal="center" vertical="center" wrapText="1"/>
    </xf>
    <xf numFmtId="0" fontId="7" fillId="6" borderId="0" xfId="2" applyFont="1" applyFill="1" applyAlignment="1">
      <alignment horizontal="center" vertical="center" wrapText="1"/>
    </xf>
    <xf numFmtId="0" fontId="5" fillId="0" borderId="4" xfId="3" applyFont="1" applyFill="1" applyBorder="1" applyAlignment="1">
      <alignment horizontal="center" vertical="top" wrapText="1"/>
    </xf>
    <xf numFmtId="0" fontId="5" fillId="9" borderId="2" xfId="2" applyFont="1" applyFill="1" applyBorder="1" applyAlignment="1">
      <alignment horizontal="center" vertical="top" wrapText="1"/>
    </xf>
  </cellXfs>
  <cellStyles count="4">
    <cellStyle name="40% - Accent1 2" xfId="3" xr:uid="{10D5DD46-1DF9-4A3F-9AC9-3AFA0B898701}"/>
    <cellStyle name="Accent1 2" xfId="1" xr:uid="{91C0A377-DF9C-4909-9A98-FE253207C615}"/>
    <cellStyle name="Normal" xfId="0" builtinId="0"/>
    <cellStyle name="Normal 2" xfId="2" xr:uid="{4A339412-74D5-409D-8990-60B117727B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egisto_portarias\Reg_Port_2014\TNorte_20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egisto_portarias\Reg_Port_2014\TGLiquidos_20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egisto_portarias\Reg_Port_2014\TGSolidos_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Total"/>
    </sheetNames>
    <sheetDataSet>
      <sheetData sheetId="0">
        <row r="2">
          <cell r="R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dez"/>
    </sheetNames>
    <sheetDataSet>
      <sheetData sheetId="0">
        <row r="2">
          <cell r="P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dez"/>
    </sheetNames>
    <sheetDataSet>
      <sheetData sheetId="0">
        <row r="2">
          <cell r="Q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023F-BF99-45BB-ACFA-0D9D3B3D9321}">
  <dimension ref="A2:N41"/>
  <sheetViews>
    <sheetView tabSelected="1" topLeftCell="A19" workbookViewId="0">
      <selection activeCell="N41" sqref="N41"/>
    </sheetView>
  </sheetViews>
  <sheetFormatPr defaultRowHeight="15.6" x14ac:dyDescent="0.3"/>
  <cols>
    <col min="3" max="3" width="9" customWidth="1"/>
    <col min="14" max="14" width="10.19921875" bestFit="1" customWidth="1"/>
  </cols>
  <sheetData>
    <row r="2" spans="1:14" x14ac:dyDescent="0.3">
      <c r="A2" s="1" t="s">
        <v>19</v>
      </c>
      <c r="B2" s="1"/>
      <c r="C2" s="1"/>
    </row>
    <row r="4" spans="1:14" x14ac:dyDescent="0.3">
      <c r="A4" s="1">
        <v>2024</v>
      </c>
    </row>
    <row r="5" spans="1:14" x14ac:dyDescent="0.3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</row>
    <row r="6" spans="1:14" ht="26.4" x14ac:dyDescent="0.3">
      <c r="A6" s="2" t="s">
        <v>14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15</v>
      </c>
      <c r="K6" s="3" t="s">
        <v>15</v>
      </c>
      <c r="L6" s="3" t="s">
        <v>15</v>
      </c>
      <c r="M6" s="3" t="s">
        <v>15</v>
      </c>
    </row>
    <row r="7" spans="1:14" x14ac:dyDescent="0.3">
      <c r="A7" s="4">
        <v>1</v>
      </c>
      <c r="B7" s="5"/>
      <c r="C7" s="5">
        <v>378</v>
      </c>
      <c r="D7" s="5">
        <v>334</v>
      </c>
      <c r="E7" s="5">
        <v>207</v>
      </c>
      <c r="F7" s="5">
        <v>3</v>
      </c>
      <c r="G7" s="5">
        <v>5</v>
      </c>
      <c r="H7" s="5">
        <v>215</v>
      </c>
      <c r="I7" s="5">
        <v>149</v>
      </c>
      <c r="J7" s="5"/>
      <c r="K7" s="5">
        <v>298</v>
      </c>
      <c r="L7" s="5">
        <v>3</v>
      </c>
      <c r="M7" s="5"/>
    </row>
    <row r="8" spans="1:14" x14ac:dyDescent="0.3">
      <c r="A8" s="4">
        <v>2</v>
      </c>
      <c r="B8" s="6">
        <v>325</v>
      </c>
      <c r="C8" s="6">
        <v>375</v>
      </c>
      <c r="D8" s="6">
        <v>14</v>
      </c>
      <c r="E8" s="6">
        <v>303</v>
      </c>
      <c r="F8" s="6">
        <v>271</v>
      </c>
      <c r="G8" s="6"/>
      <c r="H8" s="6">
        <v>197</v>
      </c>
      <c r="I8" s="6">
        <v>168</v>
      </c>
      <c r="J8" s="6">
        <v>241</v>
      </c>
      <c r="K8" s="6">
        <v>249</v>
      </c>
      <c r="L8" s="6">
        <v>1</v>
      </c>
      <c r="M8" s="6">
        <v>287</v>
      </c>
    </row>
    <row r="9" spans="1:14" x14ac:dyDescent="0.3">
      <c r="A9" s="4">
        <v>3</v>
      </c>
      <c r="B9" s="5">
        <v>385</v>
      </c>
      <c r="C9" s="5">
        <v>5</v>
      </c>
      <c r="D9" s="5"/>
      <c r="E9" s="5">
        <v>348</v>
      </c>
      <c r="F9" s="5">
        <v>260</v>
      </c>
      <c r="G9" s="5">
        <v>251</v>
      </c>
      <c r="H9" s="5">
        <v>222</v>
      </c>
      <c r="I9" s="5"/>
      <c r="J9" s="5">
        <v>234</v>
      </c>
      <c r="K9" s="5">
        <v>267</v>
      </c>
      <c r="L9" s="5"/>
      <c r="M9" s="5">
        <v>230</v>
      </c>
    </row>
    <row r="10" spans="1:14" x14ac:dyDescent="0.3">
      <c r="A10" s="4">
        <v>4</v>
      </c>
      <c r="B10" s="6">
        <v>329</v>
      </c>
      <c r="C10" s="6"/>
      <c r="D10" s="6">
        <v>288</v>
      </c>
      <c r="E10" s="6">
        <v>310</v>
      </c>
      <c r="F10" s="6">
        <v>21</v>
      </c>
      <c r="G10" s="6">
        <v>229</v>
      </c>
      <c r="H10" s="6">
        <v>243</v>
      </c>
      <c r="I10" s="19"/>
      <c r="J10" s="6">
        <v>195</v>
      </c>
      <c r="K10" s="6">
        <v>276</v>
      </c>
      <c r="L10" s="6">
        <v>304</v>
      </c>
      <c r="M10" s="6">
        <v>210</v>
      </c>
    </row>
    <row r="11" spans="1:14" x14ac:dyDescent="0.3">
      <c r="A11" s="4">
        <v>5</v>
      </c>
      <c r="B11" s="5">
        <v>280</v>
      </c>
      <c r="C11" s="5">
        <v>318</v>
      </c>
      <c r="D11" s="5">
        <v>255</v>
      </c>
      <c r="E11" s="5">
        <v>289</v>
      </c>
      <c r="F11" s="5"/>
      <c r="G11" s="5">
        <v>269</v>
      </c>
      <c r="H11" s="5">
        <v>255</v>
      </c>
      <c r="I11" s="5">
        <v>110</v>
      </c>
      <c r="J11" s="5">
        <v>203</v>
      </c>
      <c r="K11" s="5">
        <v>12</v>
      </c>
      <c r="L11" s="5">
        <v>286</v>
      </c>
      <c r="M11" s="5">
        <v>211</v>
      </c>
    </row>
    <row r="12" spans="1:14" x14ac:dyDescent="0.3">
      <c r="A12" s="4">
        <v>6</v>
      </c>
      <c r="B12" s="6">
        <v>1</v>
      </c>
      <c r="C12" s="6">
        <v>395</v>
      </c>
      <c r="D12" s="6">
        <v>222</v>
      </c>
      <c r="E12" s="6">
        <v>9</v>
      </c>
      <c r="F12" s="6">
        <v>301</v>
      </c>
      <c r="G12" s="6">
        <v>235</v>
      </c>
      <c r="H12" s="6">
        <v>1</v>
      </c>
      <c r="I12" s="6">
        <v>125</v>
      </c>
      <c r="J12" s="6">
        <v>223</v>
      </c>
      <c r="K12" s="6"/>
      <c r="L12" s="6">
        <v>246</v>
      </c>
      <c r="M12" s="6">
        <v>220</v>
      </c>
    </row>
    <row r="13" spans="1:14" x14ac:dyDescent="0.3">
      <c r="A13" s="4">
        <v>7</v>
      </c>
      <c r="B13" s="5"/>
      <c r="C13" s="5">
        <v>413</v>
      </c>
      <c r="D13" s="5">
        <v>204</v>
      </c>
      <c r="E13" s="5">
        <v>3</v>
      </c>
      <c r="F13" s="5">
        <v>277</v>
      </c>
      <c r="G13" s="5">
        <v>216</v>
      </c>
      <c r="H13" s="5"/>
      <c r="I13" s="5">
        <v>194</v>
      </c>
      <c r="J13" s="5">
        <v>6</v>
      </c>
      <c r="K13" s="5">
        <v>267</v>
      </c>
      <c r="L13" s="5">
        <v>232</v>
      </c>
      <c r="M13" s="5"/>
    </row>
    <row r="14" spans="1:14" x14ac:dyDescent="0.3">
      <c r="A14" s="4">
        <v>8</v>
      </c>
      <c r="B14" s="6">
        <v>327</v>
      </c>
      <c r="C14" s="6">
        <v>419</v>
      </c>
      <c r="D14" s="6">
        <v>225</v>
      </c>
      <c r="E14" s="6">
        <v>327</v>
      </c>
      <c r="F14" s="6">
        <v>290</v>
      </c>
      <c r="G14" s="6">
        <v>5</v>
      </c>
      <c r="H14" s="6">
        <v>244</v>
      </c>
      <c r="I14" s="6">
        <v>155</v>
      </c>
      <c r="J14" s="6"/>
      <c r="K14" s="6">
        <v>246</v>
      </c>
      <c r="L14" s="6">
        <v>220</v>
      </c>
      <c r="M14" s="6"/>
    </row>
    <row r="15" spans="1:14" x14ac:dyDescent="0.3">
      <c r="A15" s="4">
        <v>9</v>
      </c>
      <c r="B15" s="5">
        <v>289</v>
      </c>
      <c r="C15" s="5">
        <v>397</v>
      </c>
      <c r="D15" s="5">
        <v>2</v>
      </c>
      <c r="E15" s="5">
        <v>398</v>
      </c>
      <c r="F15" s="5">
        <v>268</v>
      </c>
      <c r="G15" s="5"/>
      <c r="H15" s="5">
        <v>171</v>
      </c>
      <c r="I15" s="5">
        <v>176</v>
      </c>
      <c r="J15" s="5">
        <v>194</v>
      </c>
      <c r="K15" s="5">
        <v>227</v>
      </c>
      <c r="L15" s="5">
        <v>22</v>
      </c>
      <c r="M15" s="5">
        <v>194</v>
      </c>
    </row>
    <row r="16" spans="1:14" x14ac:dyDescent="0.3">
      <c r="A16" s="4">
        <v>10</v>
      </c>
      <c r="B16" s="6">
        <v>317</v>
      </c>
      <c r="C16" s="6">
        <v>27</v>
      </c>
      <c r="D16" s="6"/>
      <c r="E16" s="6">
        <v>384</v>
      </c>
      <c r="F16" s="6">
        <v>293</v>
      </c>
      <c r="G16" s="6">
        <v>1</v>
      </c>
      <c r="H16" s="6">
        <v>288</v>
      </c>
      <c r="I16" s="6">
        <v>13</v>
      </c>
      <c r="J16" s="6">
        <v>229</v>
      </c>
      <c r="K16" s="6">
        <v>247</v>
      </c>
      <c r="L16" s="6"/>
      <c r="M16" s="6">
        <v>158</v>
      </c>
    </row>
    <row r="17" spans="1:13" x14ac:dyDescent="0.3">
      <c r="A17" s="4">
        <v>11</v>
      </c>
      <c r="B17" s="5">
        <v>347</v>
      </c>
      <c r="C17" s="5"/>
      <c r="D17" s="5">
        <v>201</v>
      </c>
      <c r="E17" s="5">
        <v>402</v>
      </c>
      <c r="F17" s="5">
        <v>3</v>
      </c>
      <c r="G17" s="5">
        <v>270</v>
      </c>
      <c r="H17" s="5">
        <v>275</v>
      </c>
      <c r="I17" s="5"/>
      <c r="J17" s="5">
        <v>292</v>
      </c>
      <c r="K17" s="5">
        <v>217</v>
      </c>
      <c r="L17" s="5">
        <v>223</v>
      </c>
      <c r="M17" s="5">
        <v>178</v>
      </c>
    </row>
    <row r="18" spans="1:13" x14ac:dyDescent="0.3">
      <c r="A18" s="4">
        <v>12</v>
      </c>
      <c r="B18" s="6">
        <v>410</v>
      </c>
      <c r="C18" s="6">
        <v>441</v>
      </c>
      <c r="D18" s="6">
        <v>220</v>
      </c>
      <c r="E18" s="6">
        <v>400</v>
      </c>
      <c r="F18" s="6"/>
      <c r="G18" s="6">
        <v>315</v>
      </c>
      <c r="H18" s="6">
        <v>297</v>
      </c>
      <c r="I18" s="6">
        <v>131</v>
      </c>
      <c r="J18" s="6">
        <v>276</v>
      </c>
      <c r="K18" s="6"/>
      <c r="L18" s="6">
        <v>222</v>
      </c>
      <c r="M18" s="6">
        <v>222</v>
      </c>
    </row>
    <row r="19" spans="1:13" x14ac:dyDescent="0.3">
      <c r="A19" s="4">
        <v>13</v>
      </c>
      <c r="B19" s="5">
        <v>39</v>
      </c>
      <c r="C19" s="5">
        <v>184</v>
      </c>
      <c r="D19" s="5">
        <v>197</v>
      </c>
      <c r="E19" s="5">
        <v>3</v>
      </c>
      <c r="F19" s="5">
        <v>308</v>
      </c>
      <c r="G19" s="7">
        <v>257</v>
      </c>
      <c r="H19" s="5">
        <v>2</v>
      </c>
      <c r="I19" s="5">
        <v>151</v>
      </c>
      <c r="J19" s="5">
        <v>258</v>
      </c>
      <c r="K19" s="5"/>
      <c r="L19" s="5">
        <v>173</v>
      </c>
      <c r="M19" s="5">
        <v>213</v>
      </c>
    </row>
    <row r="20" spans="1:13" x14ac:dyDescent="0.3">
      <c r="A20" s="4">
        <v>14</v>
      </c>
      <c r="B20" s="6"/>
      <c r="C20" s="6">
        <v>380</v>
      </c>
      <c r="D20" s="6">
        <v>227</v>
      </c>
      <c r="E20" s="6"/>
      <c r="F20" s="6">
        <v>331</v>
      </c>
      <c r="G20" s="6">
        <v>251</v>
      </c>
      <c r="H20" s="6"/>
      <c r="I20" s="6">
        <v>160</v>
      </c>
      <c r="J20" s="6">
        <v>5</v>
      </c>
      <c r="K20" s="6">
        <v>316</v>
      </c>
      <c r="L20" s="6">
        <v>183</v>
      </c>
      <c r="M20" s="6">
        <v>14</v>
      </c>
    </row>
    <row r="21" spans="1:13" x14ac:dyDescent="0.3">
      <c r="A21" s="4">
        <v>15</v>
      </c>
      <c r="B21" s="5">
        <v>369</v>
      </c>
      <c r="C21" s="5">
        <v>389</v>
      </c>
      <c r="D21" s="5">
        <v>270</v>
      </c>
      <c r="E21" s="5">
        <v>323</v>
      </c>
      <c r="F21" s="5">
        <v>342</v>
      </c>
      <c r="G21" s="5">
        <v>79</v>
      </c>
      <c r="H21" s="5">
        <v>225</v>
      </c>
      <c r="I21" s="5"/>
      <c r="J21" s="5">
        <v>1</v>
      </c>
      <c r="K21" s="5">
        <v>308</v>
      </c>
      <c r="L21" s="5">
        <v>183</v>
      </c>
      <c r="M21" s="5"/>
    </row>
    <row r="22" spans="1:13" x14ac:dyDescent="0.3">
      <c r="A22" s="4">
        <v>16</v>
      </c>
      <c r="B22" s="6">
        <v>358</v>
      </c>
      <c r="C22" s="6">
        <v>366</v>
      </c>
      <c r="D22" s="6">
        <v>56</v>
      </c>
      <c r="E22" s="6">
        <v>309</v>
      </c>
      <c r="F22" s="6">
        <v>273</v>
      </c>
      <c r="G22" s="6"/>
      <c r="H22" s="6">
        <v>203</v>
      </c>
      <c r="I22" s="6">
        <v>177</v>
      </c>
      <c r="J22" s="6">
        <v>210</v>
      </c>
      <c r="K22" s="6">
        <v>252</v>
      </c>
      <c r="L22" s="6">
        <v>7</v>
      </c>
      <c r="M22" s="6">
        <v>222</v>
      </c>
    </row>
    <row r="23" spans="1:13" x14ac:dyDescent="0.3">
      <c r="A23" s="4">
        <v>17</v>
      </c>
      <c r="B23" s="5">
        <v>303</v>
      </c>
      <c r="C23" s="5">
        <v>21</v>
      </c>
      <c r="D23" s="5"/>
      <c r="E23" s="5">
        <v>231</v>
      </c>
      <c r="F23" s="5">
        <v>253</v>
      </c>
      <c r="G23" s="5">
        <v>296</v>
      </c>
      <c r="H23" s="5">
        <v>186</v>
      </c>
      <c r="I23" s="5"/>
      <c r="J23" s="5">
        <v>291</v>
      </c>
      <c r="K23" s="5">
        <v>294</v>
      </c>
      <c r="L23" s="5"/>
      <c r="M23" s="5">
        <v>127</v>
      </c>
    </row>
    <row r="24" spans="1:13" x14ac:dyDescent="0.3">
      <c r="A24" s="4">
        <v>18</v>
      </c>
      <c r="B24" s="6">
        <v>383</v>
      </c>
      <c r="C24" s="6">
        <v>4</v>
      </c>
      <c r="D24" s="6">
        <v>245</v>
      </c>
      <c r="E24" s="6">
        <v>238</v>
      </c>
      <c r="F24" s="6">
        <v>2</v>
      </c>
      <c r="G24" s="6">
        <v>279</v>
      </c>
      <c r="H24" s="6">
        <v>175</v>
      </c>
      <c r="I24" s="6"/>
      <c r="J24" s="6">
        <v>311</v>
      </c>
      <c r="K24" s="6">
        <v>269</v>
      </c>
      <c r="L24" s="6">
        <v>186</v>
      </c>
      <c r="M24" s="6">
        <v>292</v>
      </c>
    </row>
    <row r="25" spans="1:13" x14ac:dyDescent="0.3">
      <c r="A25" s="4">
        <v>19</v>
      </c>
      <c r="B25" s="5">
        <v>321</v>
      </c>
      <c r="C25" s="5">
        <v>279</v>
      </c>
      <c r="D25" s="5">
        <v>274</v>
      </c>
      <c r="E25" s="5">
        <v>227</v>
      </c>
      <c r="F25" s="5"/>
      <c r="G25" s="5">
        <v>200</v>
      </c>
      <c r="H25" s="5">
        <v>253</v>
      </c>
      <c r="I25" s="5">
        <v>174</v>
      </c>
      <c r="J25" s="5">
        <v>407</v>
      </c>
      <c r="K25" s="5">
        <v>2</v>
      </c>
      <c r="L25" s="5">
        <v>179</v>
      </c>
      <c r="M25" s="5">
        <v>279</v>
      </c>
    </row>
    <row r="26" spans="1:13" x14ac:dyDescent="0.3">
      <c r="A26" s="4">
        <v>20</v>
      </c>
      <c r="B26" s="6">
        <v>22</v>
      </c>
      <c r="C26" s="6">
        <v>327</v>
      </c>
      <c r="D26" s="6">
        <v>291</v>
      </c>
      <c r="E26" s="6">
        <v>3</v>
      </c>
      <c r="F26" s="6">
        <v>310</v>
      </c>
      <c r="G26" s="6">
        <v>177</v>
      </c>
      <c r="H26" s="6">
        <v>3</v>
      </c>
      <c r="I26" s="6">
        <v>185</v>
      </c>
      <c r="J26" s="6">
        <v>237</v>
      </c>
      <c r="K26" s="6"/>
      <c r="L26" s="6">
        <v>201</v>
      </c>
      <c r="M26" s="6">
        <v>187</v>
      </c>
    </row>
    <row r="27" spans="1:13" x14ac:dyDescent="0.3">
      <c r="A27" s="4">
        <v>21</v>
      </c>
      <c r="B27" s="5"/>
      <c r="C27" s="5">
        <v>270</v>
      </c>
      <c r="D27" s="5">
        <v>204</v>
      </c>
      <c r="E27" s="5"/>
      <c r="F27" s="5">
        <v>306</v>
      </c>
      <c r="G27" s="5">
        <v>196</v>
      </c>
      <c r="H27" s="5"/>
      <c r="I27" s="5">
        <v>194</v>
      </c>
      <c r="J27" s="5">
        <v>80</v>
      </c>
      <c r="K27" s="5">
        <v>408</v>
      </c>
      <c r="L27" s="5">
        <v>202</v>
      </c>
      <c r="M27" s="5">
        <v>94</v>
      </c>
    </row>
    <row r="28" spans="1:13" x14ac:dyDescent="0.3">
      <c r="A28" s="4">
        <v>22</v>
      </c>
      <c r="B28" s="6">
        <v>393</v>
      </c>
      <c r="C28" s="6">
        <v>352</v>
      </c>
      <c r="D28" s="6">
        <v>233</v>
      </c>
      <c r="E28" s="6">
        <v>214</v>
      </c>
      <c r="F28" s="6">
        <v>244</v>
      </c>
      <c r="G28" s="6">
        <v>11</v>
      </c>
      <c r="H28" s="6">
        <v>250</v>
      </c>
      <c r="I28" s="6">
        <v>141</v>
      </c>
      <c r="J28" s="20">
        <v>8</v>
      </c>
      <c r="K28" s="6">
        <v>407</v>
      </c>
      <c r="L28" s="6">
        <v>203</v>
      </c>
      <c r="M28" s="6"/>
    </row>
    <row r="29" spans="1:13" x14ac:dyDescent="0.3">
      <c r="A29" s="4">
        <v>23</v>
      </c>
      <c r="B29" s="5">
        <v>440</v>
      </c>
      <c r="C29" s="5">
        <v>305</v>
      </c>
      <c r="D29" s="5">
        <v>24</v>
      </c>
      <c r="E29" s="5">
        <v>254</v>
      </c>
      <c r="F29" s="5">
        <v>234</v>
      </c>
      <c r="G29" s="5"/>
      <c r="H29" s="5">
        <v>261</v>
      </c>
      <c r="I29" s="5">
        <v>182</v>
      </c>
      <c r="J29" s="5">
        <v>329</v>
      </c>
      <c r="K29" s="5">
        <v>378</v>
      </c>
      <c r="L29" s="5">
        <v>45</v>
      </c>
      <c r="M29" s="5">
        <v>165</v>
      </c>
    </row>
    <row r="30" spans="1:13" x14ac:dyDescent="0.3">
      <c r="A30" s="4">
        <v>24</v>
      </c>
      <c r="B30" s="6">
        <v>396</v>
      </c>
      <c r="C30" s="6">
        <v>18</v>
      </c>
      <c r="D30" s="6"/>
      <c r="E30" s="6">
        <v>283</v>
      </c>
      <c r="F30" s="6">
        <v>211</v>
      </c>
      <c r="G30" s="6">
        <v>199</v>
      </c>
      <c r="H30" s="6">
        <v>269</v>
      </c>
      <c r="I30" s="6"/>
      <c r="J30" s="6">
        <v>306</v>
      </c>
      <c r="K30" s="6">
        <v>340</v>
      </c>
      <c r="L30" s="6"/>
      <c r="M30" s="6">
        <v>71</v>
      </c>
    </row>
    <row r="31" spans="1:13" x14ac:dyDescent="0.3">
      <c r="A31" s="4">
        <v>25</v>
      </c>
      <c r="B31" s="5">
        <v>374</v>
      </c>
      <c r="C31" s="5"/>
      <c r="D31" s="5">
        <v>273</v>
      </c>
      <c r="E31" s="5">
        <v>2</v>
      </c>
      <c r="F31" s="5"/>
      <c r="G31" s="5">
        <v>163</v>
      </c>
      <c r="H31" s="5">
        <v>258</v>
      </c>
      <c r="I31" s="5"/>
      <c r="J31" s="5">
        <v>308</v>
      </c>
      <c r="K31" s="5">
        <v>214</v>
      </c>
      <c r="L31" s="5">
        <v>198</v>
      </c>
      <c r="M31" s="5"/>
    </row>
    <row r="32" spans="1:13" x14ac:dyDescent="0.3">
      <c r="A32" s="4">
        <v>26</v>
      </c>
      <c r="B32" s="6">
        <v>338</v>
      </c>
      <c r="C32" s="6">
        <v>328</v>
      </c>
      <c r="D32" s="6">
        <v>342</v>
      </c>
      <c r="E32" s="6">
        <v>303</v>
      </c>
      <c r="F32" s="6"/>
      <c r="G32" s="6">
        <v>178</v>
      </c>
      <c r="H32" s="6">
        <v>255</v>
      </c>
      <c r="I32" s="6">
        <v>174</v>
      </c>
      <c r="J32" s="6">
        <v>319</v>
      </c>
      <c r="K32" s="6">
        <v>26</v>
      </c>
      <c r="L32" s="6">
        <v>213</v>
      </c>
      <c r="M32" s="6">
        <v>174</v>
      </c>
    </row>
    <row r="33" spans="1:14" x14ac:dyDescent="0.3">
      <c r="A33" s="4">
        <v>27</v>
      </c>
      <c r="B33" s="5">
        <v>65</v>
      </c>
      <c r="C33" s="5">
        <v>313</v>
      </c>
      <c r="D33" s="5">
        <v>333</v>
      </c>
      <c r="E33" s="5">
        <v>1</v>
      </c>
      <c r="F33" s="5">
        <v>292</v>
      </c>
      <c r="G33" s="5">
        <v>261</v>
      </c>
      <c r="H33" s="5"/>
      <c r="I33" s="5">
        <v>177</v>
      </c>
      <c r="J33" s="5">
        <v>274</v>
      </c>
      <c r="K33" s="5">
        <v>8</v>
      </c>
      <c r="L33" s="5">
        <v>191</v>
      </c>
      <c r="M33" s="5">
        <v>217</v>
      </c>
    </row>
    <row r="34" spans="1:14" x14ac:dyDescent="0.3">
      <c r="A34" s="4">
        <v>28</v>
      </c>
      <c r="B34" s="6">
        <v>3</v>
      </c>
      <c r="C34" s="6">
        <v>301</v>
      </c>
      <c r="D34" s="6">
        <v>394</v>
      </c>
      <c r="E34" s="6"/>
      <c r="F34" s="6">
        <v>215</v>
      </c>
      <c r="G34" s="6">
        <v>268</v>
      </c>
      <c r="H34" s="6"/>
      <c r="I34" s="6">
        <v>184</v>
      </c>
      <c r="J34" s="6"/>
      <c r="K34" s="6">
        <v>220</v>
      </c>
      <c r="L34" s="6">
        <v>204</v>
      </c>
      <c r="M34" s="6">
        <v>21</v>
      </c>
    </row>
    <row r="35" spans="1:14" x14ac:dyDescent="0.3">
      <c r="A35" s="4">
        <v>29</v>
      </c>
      <c r="B35" s="5">
        <v>332</v>
      </c>
      <c r="C35" s="5">
        <v>327</v>
      </c>
      <c r="D35" s="5"/>
      <c r="E35" s="5">
        <v>306</v>
      </c>
      <c r="F35" s="5">
        <v>258</v>
      </c>
      <c r="G35" s="5">
        <v>16</v>
      </c>
      <c r="H35" s="5">
        <v>214</v>
      </c>
      <c r="I35" s="5">
        <v>159</v>
      </c>
      <c r="J35" s="5"/>
      <c r="K35" s="5">
        <v>260</v>
      </c>
      <c r="L35" s="5">
        <v>249</v>
      </c>
      <c r="M35" s="5"/>
    </row>
    <row r="36" spans="1:14" x14ac:dyDescent="0.3">
      <c r="A36" s="4">
        <v>30</v>
      </c>
      <c r="B36" s="6">
        <v>384</v>
      </c>
      <c r="C36" s="6"/>
      <c r="D36" s="6"/>
      <c r="E36" s="6">
        <v>268</v>
      </c>
      <c r="F36" s="6">
        <v>41</v>
      </c>
      <c r="G36" s="6"/>
      <c r="H36" s="6">
        <v>178</v>
      </c>
      <c r="I36" s="6">
        <v>199</v>
      </c>
      <c r="J36" s="6">
        <v>320</v>
      </c>
      <c r="K36" s="6">
        <v>277</v>
      </c>
      <c r="L36" s="6">
        <v>21</v>
      </c>
      <c r="M36" s="6">
        <v>230</v>
      </c>
    </row>
    <row r="37" spans="1:14" x14ac:dyDescent="0.3">
      <c r="A37" s="4">
        <v>31</v>
      </c>
      <c r="B37" s="5">
        <v>436</v>
      </c>
      <c r="C37" s="5"/>
      <c r="D37" s="5"/>
      <c r="E37" s="5"/>
      <c r="F37" s="5">
        <v>199</v>
      </c>
      <c r="G37" s="5"/>
      <c r="H37" s="5">
        <v>174</v>
      </c>
      <c r="I37" s="5"/>
      <c r="J37" s="5"/>
      <c r="K37" s="5">
        <v>191</v>
      </c>
      <c r="L37" s="5"/>
      <c r="M37" s="5">
        <v>124</v>
      </c>
    </row>
    <row r="38" spans="1:14" x14ac:dyDescent="0.3">
      <c r="A38" s="8"/>
      <c r="B38" s="9">
        <f t="shared" ref="B38:G38" si="0">SUM(B7:B37)</f>
        <v>7966</v>
      </c>
      <c r="C38" s="9">
        <f t="shared" si="0"/>
        <v>7332</v>
      </c>
      <c r="D38" s="9">
        <f t="shared" si="0"/>
        <v>5328</v>
      </c>
      <c r="E38" s="9">
        <f t="shared" si="0"/>
        <v>6345</v>
      </c>
      <c r="F38" s="9">
        <f t="shared" si="0"/>
        <v>5806</v>
      </c>
      <c r="G38" s="9">
        <f t="shared" si="0"/>
        <v>4627</v>
      </c>
      <c r="H38" s="9">
        <f t="shared" ref="H38" si="1">SUM(H7:H37)</f>
        <v>5314</v>
      </c>
      <c r="I38" s="9">
        <f>SUM(I7:I37)</f>
        <v>3478</v>
      </c>
      <c r="J38" s="9">
        <f>SUM(J7:J37)</f>
        <v>5757</v>
      </c>
      <c r="K38" s="9">
        <f>SUM(K7:K37)</f>
        <v>6476</v>
      </c>
      <c r="L38" s="9">
        <f>SUM(L7:L37)</f>
        <v>4397</v>
      </c>
      <c r="M38" s="9">
        <f>SUM(M7:M37)</f>
        <v>4340</v>
      </c>
      <c r="N38" s="9">
        <f>SUM(B38:M38)</f>
        <v>67166</v>
      </c>
    </row>
    <row r="39" spans="1:14" x14ac:dyDescent="0.3">
      <c r="A39" s="10" t="s">
        <v>16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2">
        <f>N38/12</f>
        <v>5597.166666666667</v>
      </c>
    </row>
    <row r="40" spans="1:14" x14ac:dyDescent="0.3">
      <c r="A40" s="10" t="s">
        <v>17</v>
      </c>
      <c r="M40" s="8"/>
      <c r="N40" s="12">
        <f>N39/30</f>
        <v>186.57222222222222</v>
      </c>
    </row>
    <row r="41" spans="1:14" x14ac:dyDescent="0.3">
      <c r="M41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6D1C-B625-4F24-8203-96419EB866FB}">
  <dimension ref="A2:N40"/>
  <sheetViews>
    <sheetView view="pageBreakPreview" topLeftCell="A4" zoomScale="130" zoomScaleSheetLayoutView="130" workbookViewId="0">
      <selection activeCell="A4" sqref="A4"/>
    </sheetView>
  </sheetViews>
  <sheetFormatPr defaultRowHeight="15.6" x14ac:dyDescent="0.3"/>
  <sheetData>
    <row r="2" spans="1:14" x14ac:dyDescent="0.3">
      <c r="A2" s="1" t="s">
        <v>0</v>
      </c>
      <c r="B2" s="1"/>
      <c r="C2" s="1"/>
      <c r="D2" s="1"/>
      <c r="E2" s="1"/>
    </row>
    <row r="4" spans="1:14" x14ac:dyDescent="0.3">
      <c r="A4" s="1">
        <v>2024</v>
      </c>
    </row>
    <row r="5" spans="1:14" x14ac:dyDescent="0.3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</row>
    <row r="6" spans="1:14" ht="26.4" x14ac:dyDescent="0.3">
      <c r="A6" s="2" t="s">
        <v>14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15</v>
      </c>
      <c r="K6" s="3" t="s">
        <v>15</v>
      </c>
      <c r="L6" s="3" t="s">
        <v>15</v>
      </c>
      <c r="M6" s="3" t="s">
        <v>15</v>
      </c>
    </row>
    <row r="7" spans="1:14" x14ac:dyDescent="0.3">
      <c r="A7" s="4">
        <v>1</v>
      </c>
      <c r="B7" s="5"/>
      <c r="C7" s="5">
        <v>321</v>
      </c>
      <c r="D7" s="5">
        <v>83</v>
      </c>
      <c r="E7" s="5">
        <v>25</v>
      </c>
      <c r="F7" s="5"/>
      <c r="G7" s="5"/>
      <c r="H7" s="5">
        <v>228</v>
      </c>
      <c r="I7" s="5">
        <v>153</v>
      </c>
      <c r="J7" s="5"/>
      <c r="K7" s="5">
        <v>113</v>
      </c>
      <c r="L7" s="5"/>
      <c r="M7" s="5"/>
    </row>
    <row r="8" spans="1:14" x14ac:dyDescent="0.3">
      <c r="A8" s="4">
        <v>2</v>
      </c>
      <c r="B8" s="6">
        <v>99</v>
      </c>
      <c r="C8" s="6">
        <v>162</v>
      </c>
      <c r="D8" s="6"/>
      <c r="E8" s="6">
        <v>149</v>
      </c>
      <c r="F8" s="6">
        <v>198</v>
      </c>
      <c r="G8" s="6"/>
      <c r="H8" s="6">
        <v>238</v>
      </c>
      <c r="I8" s="6">
        <v>126</v>
      </c>
      <c r="J8" s="6">
        <v>116</v>
      </c>
      <c r="K8" s="6">
        <v>127</v>
      </c>
      <c r="L8" s="6">
        <v>3</v>
      </c>
      <c r="M8" s="6">
        <v>179</v>
      </c>
    </row>
    <row r="9" spans="1:14" x14ac:dyDescent="0.3">
      <c r="A9" s="4">
        <v>3</v>
      </c>
      <c r="B9" s="5">
        <v>95</v>
      </c>
      <c r="C9" s="5"/>
      <c r="D9" s="5"/>
      <c r="E9" s="5">
        <v>86</v>
      </c>
      <c r="F9" s="5">
        <v>211</v>
      </c>
      <c r="G9" s="5">
        <v>124</v>
      </c>
      <c r="H9" s="5">
        <v>249</v>
      </c>
      <c r="I9" s="5"/>
      <c r="J9" s="5">
        <v>126</v>
      </c>
      <c r="K9" s="5">
        <v>152</v>
      </c>
      <c r="L9" s="5"/>
      <c r="M9" s="5">
        <v>162</v>
      </c>
    </row>
    <row r="10" spans="1:14" x14ac:dyDescent="0.3">
      <c r="A10" s="4">
        <v>4</v>
      </c>
      <c r="B10" s="6"/>
      <c r="C10" s="6"/>
      <c r="D10" s="6">
        <v>108</v>
      </c>
      <c r="E10" s="6">
        <v>177</v>
      </c>
      <c r="F10" s="6"/>
      <c r="G10" s="6">
        <v>126</v>
      </c>
      <c r="H10" s="6">
        <v>227</v>
      </c>
      <c r="I10" s="6"/>
      <c r="J10" s="6">
        <v>105</v>
      </c>
      <c r="K10" s="6">
        <v>108</v>
      </c>
      <c r="L10" s="6">
        <v>166</v>
      </c>
      <c r="M10" s="6">
        <v>112</v>
      </c>
    </row>
    <row r="11" spans="1:14" x14ac:dyDescent="0.3">
      <c r="A11" s="4">
        <v>5</v>
      </c>
      <c r="B11" s="5">
        <v>134</v>
      </c>
      <c r="C11" s="5">
        <v>104</v>
      </c>
      <c r="D11" s="5">
        <v>148</v>
      </c>
      <c r="E11" s="5">
        <v>237</v>
      </c>
      <c r="F11" s="5"/>
      <c r="G11" s="5">
        <v>120</v>
      </c>
      <c r="H11" s="5">
        <v>211</v>
      </c>
      <c r="I11" s="5">
        <v>112</v>
      </c>
      <c r="J11" s="5">
        <v>108</v>
      </c>
      <c r="K11" s="5"/>
      <c r="L11" s="5">
        <v>129</v>
      </c>
      <c r="M11" s="5">
        <v>84</v>
      </c>
    </row>
    <row r="12" spans="1:14" x14ac:dyDescent="0.3">
      <c r="A12" s="4">
        <v>6</v>
      </c>
      <c r="B12" s="6">
        <v>12</v>
      </c>
      <c r="C12" s="6">
        <v>145</v>
      </c>
      <c r="D12" s="6">
        <v>155</v>
      </c>
      <c r="E12" s="6"/>
      <c r="F12" s="6">
        <v>144</v>
      </c>
      <c r="G12" s="6">
        <v>167</v>
      </c>
      <c r="H12" s="6"/>
      <c r="I12" s="6">
        <v>130</v>
      </c>
      <c r="J12" s="6">
        <v>74</v>
      </c>
      <c r="K12" s="6"/>
      <c r="L12" s="6">
        <v>106</v>
      </c>
      <c r="M12" s="6">
        <v>166</v>
      </c>
    </row>
    <row r="13" spans="1:14" x14ac:dyDescent="0.3">
      <c r="A13" s="4">
        <v>7</v>
      </c>
      <c r="B13" s="5"/>
      <c r="C13" s="5">
        <v>99</v>
      </c>
      <c r="D13" s="5">
        <v>158</v>
      </c>
      <c r="E13" s="5">
        <v>1</v>
      </c>
      <c r="F13" s="5">
        <v>83</v>
      </c>
      <c r="G13" s="5">
        <v>118</v>
      </c>
      <c r="H13" s="5"/>
      <c r="I13" s="5">
        <v>96</v>
      </c>
      <c r="J13" s="5"/>
      <c r="K13" s="5">
        <v>46</v>
      </c>
      <c r="L13" s="5">
        <v>71</v>
      </c>
      <c r="M13" s="5"/>
    </row>
    <row r="14" spans="1:14" x14ac:dyDescent="0.3">
      <c r="A14" s="4">
        <v>8</v>
      </c>
      <c r="B14" s="6">
        <v>136</v>
      </c>
      <c r="C14" s="6">
        <v>65</v>
      </c>
      <c r="D14" s="6">
        <v>126</v>
      </c>
      <c r="E14" s="6">
        <v>179</v>
      </c>
      <c r="F14" s="6">
        <v>101</v>
      </c>
      <c r="G14" s="6"/>
      <c r="H14" s="6">
        <v>232</v>
      </c>
      <c r="I14" s="6">
        <v>104</v>
      </c>
      <c r="J14" s="6"/>
      <c r="K14" s="6">
        <v>56</v>
      </c>
      <c r="L14" s="6">
        <v>88</v>
      </c>
      <c r="M14" s="6"/>
    </row>
    <row r="15" spans="1:14" x14ac:dyDescent="0.3">
      <c r="A15" s="4">
        <v>9</v>
      </c>
      <c r="B15" s="5">
        <v>128</v>
      </c>
      <c r="C15" s="5">
        <v>67</v>
      </c>
      <c r="D15" s="5"/>
      <c r="E15" s="5">
        <v>150</v>
      </c>
      <c r="F15" s="5">
        <v>99</v>
      </c>
      <c r="G15" s="5"/>
      <c r="H15" s="5">
        <v>277</v>
      </c>
      <c r="I15" s="5">
        <v>101</v>
      </c>
      <c r="J15" s="5">
        <v>80</v>
      </c>
      <c r="K15" s="5">
        <v>108</v>
      </c>
      <c r="L15" s="5"/>
      <c r="M15" s="5">
        <v>135</v>
      </c>
    </row>
    <row r="16" spans="1:14" x14ac:dyDescent="0.3">
      <c r="A16" s="4">
        <v>10</v>
      </c>
      <c r="B16" s="6">
        <v>151</v>
      </c>
      <c r="C16" s="6"/>
      <c r="D16" s="6"/>
      <c r="E16" s="6">
        <v>150</v>
      </c>
      <c r="F16" s="6">
        <v>198</v>
      </c>
      <c r="G16" s="6"/>
      <c r="H16" s="6">
        <v>199</v>
      </c>
      <c r="I16" s="6"/>
      <c r="J16" s="6">
        <v>96</v>
      </c>
      <c r="K16" s="6">
        <v>84</v>
      </c>
      <c r="L16" s="6"/>
      <c r="M16" s="6">
        <v>124</v>
      </c>
    </row>
    <row r="17" spans="1:13" x14ac:dyDescent="0.3">
      <c r="A17" s="4">
        <v>11</v>
      </c>
      <c r="B17" s="5">
        <v>154</v>
      </c>
      <c r="C17" s="5"/>
      <c r="D17" s="5">
        <v>99</v>
      </c>
      <c r="E17" s="5">
        <v>117</v>
      </c>
      <c r="F17" s="5"/>
      <c r="G17" s="5">
        <v>70</v>
      </c>
      <c r="H17" s="5">
        <v>147</v>
      </c>
      <c r="I17" s="5"/>
      <c r="J17" s="5">
        <v>59</v>
      </c>
      <c r="K17" s="5">
        <v>127</v>
      </c>
      <c r="L17" s="5">
        <v>161</v>
      </c>
      <c r="M17" s="5">
        <v>81</v>
      </c>
    </row>
    <row r="18" spans="1:13" x14ac:dyDescent="0.3">
      <c r="A18" s="4">
        <v>12</v>
      </c>
      <c r="B18" s="6">
        <v>149</v>
      </c>
      <c r="C18" s="6">
        <v>65</v>
      </c>
      <c r="D18" s="6">
        <v>210</v>
      </c>
      <c r="E18" s="6">
        <v>85</v>
      </c>
      <c r="F18" s="6"/>
      <c r="G18" s="6">
        <v>104</v>
      </c>
      <c r="H18" s="6">
        <v>143</v>
      </c>
      <c r="I18" s="6">
        <v>113</v>
      </c>
      <c r="J18" s="6">
        <v>67</v>
      </c>
      <c r="K18" s="6"/>
      <c r="L18" s="6">
        <v>134</v>
      </c>
      <c r="M18" s="6">
        <v>114</v>
      </c>
    </row>
    <row r="19" spans="1:13" x14ac:dyDescent="0.3">
      <c r="A19" s="4">
        <v>13</v>
      </c>
      <c r="B19" s="5">
        <v>1</v>
      </c>
      <c r="C19" s="5"/>
      <c r="D19" s="5">
        <v>182</v>
      </c>
      <c r="E19" s="5"/>
      <c r="F19" s="5">
        <v>95</v>
      </c>
      <c r="G19" s="7">
        <v>105</v>
      </c>
      <c r="H19" s="5"/>
      <c r="I19" s="5">
        <v>123</v>
      </c>
      <c r="J19" s="5">
        <v>58</v>
      </c>
      <c r="K19" s="5"/>
      <c r="L19" s="5">
        <v>114</v>
      </c>
      <c r="M19" s="5">
        <v>100</v>
      </c>
    </row>
    <row r="20" spans="1:13" x14ac:dyDescent="0.3">
      <c r="A20" s="4">
        <v>14</v>
      </c>
      <c r="B20" s="6"/>
      <c r="C20" s="6">
        <v>160</v>
      </c>
      <c r="D20" s="6">
        <v>149</v>
      </c>
      <c r="E20" s="6"/>
      <c r="F20" s="6">
        <v>165</v>
      </c>
      <c r="G20" s="6">
        <v>94</v>
      </c>
      <c r="H20" s="6"/>
      <c r="I20" s="6">
        <v>127</v>
      </c>
      <c r="J20" s="6"/>
      <c r="K20" s="6">
        <v>82</v>
      </c>
      <c r="L20" s="6">
        <v>110</v>
      </c>
      <c r="M20" s="6"/>
    </row>
    <row r="21" spans="1:13" x14ac:dyDescent="0.3">
      <c r="A21" s="4">
        <v>15</v>
      </c>
      <c r="B21" s="5">
        <v>81</v>
      </c>
      <c r="C21" s="5">
        <v>139</v>
      </c>
      <c r="D21" s="5">
        <v>193</v>
      </c>
      <c r="E21" s="5">
        <v>72</v>
      </c>
      <c r="F21" s="5">
        <v>250</v>
      </c>
      <c r="G21" s="5"/>
      <c r="H21" s="5">
        <v>191</v>
      </c>
      <c r="I21" s="5"/>
      <c r="J21" s="5"/>
      <c r="K21" s="5">
        <v>79</v>
      </c>
      <c r="L21" s="5">
        <v>145</v>
      </c>
      <c r="M21" s="5"/>
    </row>
    <row r="22" spans="1:13" x14ac:dyDescent="0.3">
      <c r="A22" s="4">
        <v>16</v>
      </c>
      <c r="B22" s="6">
        <v>124</v>
      </c>
      <c r="C22" s="6">
        <v>146</v>
      </c>
      <c r="D22" s="6"/>
      <c r="E22" s="6">
        <v>93</v>
      </c>
      <c r="F22" s="6">
        <v>202</v>
      </c>
      <c r="G22" s="6"/>
      <c r="H22" s="6">
        <v>145</v>
      </c>
      <c r="I22" s="6">
        <v>50</v>
      </c>
      <c r="J22" s="6">
        <v>55</v>
      </c>
      <c r="K22" s="6">
        <v>124</v>
      </c>
      <c r="L22" s="6"/>
      <c r="M22" s="6">
        <v>178</v>
      </c>
    </row>
    <row r="23" spans="1:13" x14ac:dyDescent="0.3">
      <c r="A23" s="4">
        <v>17</v>
      </c>
      <c r="B23" s="5">
        <v>169</v>
      </c>
      <c r="C23" s="5">
        <v>8</v>
      </c>
      <c r="D23" s="5"/>
      <c r="E23" s="5">
        <v>152</v>
      </c>
      <c r="F23" s="5">
        <v>160</v>
      </c>
      <c r="G23" s="5">
        <v>128</v>
      </c>
      <c r="H23" s="5">
        <v>108</v>
      </c>
      <c r="I23" s="5"/>
      <c r="J23" s="5">
        <v>66</v>
      </c>
      <c r="K23" s="5">
        <v>131</v>
      </c>
      <c r="L23" s="5"/>
      <c r="M23" s="5">
        <v>200</v>
      </c>
    </row>
    <row r="24" spans="1:13" x14ac:dyDescent="0.3">
      <c r="A24" s="4">
        <v>18</v>
      </c>
      <c r="B24" s="6">
        <v>152</v>
      </c>
      <c r="C24" s="6"/>
      <c r="D24" s="6">
        <v>207</v>
      </c>
      <c r="E24" s="6">
        <v>288</v>
      </c>
      <c r="F24" s="6"/>
      <c r="G24" s="6">
        <v>154</v>
      </c>
      <c r="H24" s="6">
        <v>104</v>
      </c>
      <c r="I24" s="6"/>
      <c r="J24" s="6">
        <v>75</v>
      </c>
      <c r="K24" s="6">
        <v>156</v>
      </c>
      <c r="L24" s="6">
        <v>157</v>
      </c>
      <c r="M24" s="6">
        <v>160</v>
      </c>
    </row>
    <row r="25" spans="1:13" x14ac:dyDescent="0.3">
      <c r="A25" s="4">
        <v>19</v>
      </c>
      <c r="B25" s="5">
        <v>158</v>
      </c>
      <c r="C25" s="5">
        <v>100</v>
      </c>
      <c r="D25" s="5">
        <v>233</v>
      </c>
      <c r="E25" s="5">
        <v>254</v>
      </c>
      <c r="F25" s="5"/>
      <c r="G25" s="5">
        <v>238</v>
      </c>
      <c r="H25" s="5">
        <v>91</v>
      </c>
      <c r="I25" s="5">
        <v>87</v>
      </c>
      <c r="J25" s="5">
        <v>145</v>
      </c>
      <c r="K25" s="5">
        <v>4</v>
      </c>
      <c r="L25" s="5">
        <v>179</v>
      </c>
      <c r="M25" s="5">
        <v>116</v>
      </c>
    </row>
    <row r="26" spans="1:13" x14ac:dyDescent="0.3">
      <c r="A26" s="4">
        <v>20</v>
      </c>
      <c r="B26" s="6">
        <v>29</v>
      </c>
      <c r="C26" s="6">
        <v>111</v>
      </c>
      <c r="D26" s="6">
        <v>125</v>
      </c>
      <c r="E26" s="6">
        <v>1</v>
      </c>
      <c r="F26" s="6">
        <v>95</v>
      </c>
      <c r="G26" s="6">
        <v>202</v>
      </c>
      <c r="H26" s="6"/>
      <c r="I26" s="6">
        <v>87</v>
      </c>
      <c r="J26" s="6">
        <v>141</v>
      </c>
      <c r="K26" s="6">
        <v>3</v>
      </c>
      <c r="L26" s="6">
        <v>153</v>
      </c>
      <c r="M26" s="6">
        <v>134</v>
      </c>
    </row>
    <row r="27" spans="1:13" x14ac:dyDescent="0.3">
      <c r="A27" s="4">
        <v>21</v>
      </c>
      <c r="B27" s="5"/>
      <c r="C27" s="5">
        <v>115</v>
      </c>
      <c r="D27" s="5">
        <v>137</v>
      </c>
      <c r="E27" s="5"/>
      <c r="F27" s="5">
        <v>138</v>
      </c>
      <c r="G27" s="5">
        <v>186</v>
      </c>
      <c r="H27" s="5"/>
      <c r="I27" s="5">
        <v>62</v>
      </c>
      <c r="J27" s="5">
        <v>1</v>
      </c>
      <c r="K27" s="5">
        <v>137</v>
      </c>
      <c r="L27" s="5">
        <v>165</v>
      </c>
      <c r="M27" s="5"/>
    </row>
    <row r="28" spans="1:13" x14ac:dyDescent="0.3">
      <c r="A28" s="4">
        <v>22</v>
      </c>
      <c r="B28" s="6">
        <v>109</v>
      </c>
      <c r="C28" s="6">
        <v>110</v>
      </c>
      <c r="D28" s="6">
        <v>81</v>
      </c>
      <c r="E28" s="6">
        <v>224</v>
      </c>
      <c r="F28" s="6">
        <v>102</v>
      </c>
      <c r="G28" s="6">
        <v>2</v>
      </c>
      <c r="H28" s="6">
        <v>148</v>
      </c>
      <c r="I28" s="6">
        <v>102</v>
      </c>
      <c r="J28" s="6"/>
      <c r="K28" s="6">
        <v>126</v>
      </c>
      <c r="L28" s="6">
        <v>172</v>
      </c>
      <c r="M28" s="6"/>
    </row>
    <row r="29" spans="1:13" x14ac:dyDescent="0.3">
      <c r="A29" s="4">
        <v>23</v>
      </c>
      <c r="B29" s="5">
        <v>123</v>
      </c>
      <c r="C29" s="5">
        <v>86</v>
      </c>
      <c r="D29" s="5"/>
      <c r="E29" s="5">
        <v>158</v>
      </c>
      <c r="F29" s="5">
        <v>118</v>
      </c>
      <c r="G29" s="5"/>
      <c r="H29" s="5">
        <v>142</v>
      </c>
      <c r="I29" s="5">
        <v>94</v>
      </c>
      <c r="J29" s="5">
        <v>97</v>
      </c>
      <c r="K29" s="5">
        <v>110</v>
      </c>
      <c r="L29" s="5"/>
      <c r="M29" s="5">
        <v>137</v>
      </c>
    </row>
    <row r="30" spans="1:13" x14ac:dyDescent="0.3">
      <c r="A30" s="4">
        <v>24</v>
      </c>
      <c r="B30" s="6">
        <v>101</v>
      </c>
      <c r="C30" s="6"/>
      <c r="D30" s="6"/>
      <c r="E30" s="6">
        <v>157</v>
      </c>
      <c r="F30" s="6">
        <v>242</v>
      </c>
      <c r="G30" s="6">
        <v>322</v>
      </c>
      <c r="H30" s="6">
        <v>111</v>
      </c>
      <c r="I30" s="6"/>
      <c r="J30" s="6">
        <v>111</v>
      </c>
      <c r="K30" s="6">
        <v>99</v>
      </c>
      <c r="L30" s="6"/>
      <c r="M30" s="6">
        <v>68</v>
      </c>
    </row>
    <row r="31" spans="1:13" x14ac:dyDescent="0.3">
      <c r="A31" s="4">
        <v>25</v>
      </c>
      <c r="B31" s="5">
        <v>138</v>
      </c>
      <c r="C31" s="5"/>
      <c r="D31" s="5">
        <v>79</v>
      </c>
      <c r="E31" s="5"/>
      <c r="F31" s="5"/>
      <c r="G31" s="5">
        <v>243</v>
      </c>
      <c r="H31" s="5">
        <v>127</v>
      </c>
      <c r="I31" s="5"/>
      <c r="J31" s="5">
        <v>116</v>
      </c>
      <c r="K31" s="5">
        <v>95</v>
      </c>
      <c r="L31" s="5">
        <v>193</v>
      </c>
      <c r="M31" s="5"/>
    </row>
    <row r="32" spans="1:13" x14ac:dyDescent="0.3">
      <c r="A32" s="4">
        <v>26</v>
      </c>
      <c r="B32" s="6">
        <v>136</v>
      </c>
      <c r="C32" s="6">
        <v>95</v>
      </c>
      <c r="D32" s="6">
        <v>90</v>
      </c>
      <c r="E32" s="6">
        <v>115</v>
      </c>
      <c r="F32" s="6"/>
      <c r="G32" s="6">
        <v>253</v>
      </c>
      <c r="H32" s="6">
        <v>108</v>
      </c>
      <c r="I32" s="6">
        <v>89</v>
      </c>
      <c r="J32" s="6">
        <v>111</v>
      </c>
      <c r="K32" s="6"/>
      <c r="L32" s="6">
        <v>166</v>
      </c>
      <c r="M32" s="6">
        <v>119</v>
      </c>
    </row>
    <row r="33" spans="1:14" x14ac:dyDescent="0.3">
      <c r="A33" s="4">
        <v>27</v>
      </c>
      <c r="B33" s="5">
        <v>47</v>
      </c>
      <c r="C33" s="5">
        <v>74</v>
      </c>
      <c r="D33" s="5">
        <v>148</v>
      </c>
      <c r="E33" s="5"/>
      <c r="F33" s="5">
        <v>191</v>
      </c>
      <c r="G33" s="5">
        <v>242</v>
      </c>
      <c r="H33" s="5"/>
      <c r="I33" s="5">
        <v>87</v>
      </c>
      <c r="J33" s="5">
        <v>113</v>
      </c>
      <c r="K33" s="5"/>
      <c r="L33" s="5">
        <v>166</v>
      </c>
      <c r="M33" s="5">
        <v>160</v>
      </c>
    </row>
    <row r="34" spans="1:14" x14ac:dyDescent="0.3">
      <c r="A34" s="4">
        <v>28</v>
      </c>
      <c r="B34" s="6"/>
      <c r="C34" s="6">
        <v>77</v>
      </c>
      <c r="D34" s="6">
        <v>176</v>
      </c>
      <c r="E34" s="6"/>
      <c r="F34" s="6">
        <v>171</v>
      </c>
      <c r="G34" s="6">
        <v>258</v>
      </c>
      <c r="H34" s="6"/>
      <c r="I34" s="6">
        <v>74</v>
      </c>
      <c r="J34" s="6"/>
      <c r="K34" s="6">
        <v>103</v>
      </c>
      <c r="L34" s="6">
        <v>175</v>
      </c>
      <c r="M34" s="6">
        <v>9</v>
      </c>
    </row>
    <row r="35" spans="1:14" x14ac:dyDescent="0.3">
      <c r="A35" s="4">
        <v>29</v>
      </c>
      <c r="B35" s="5">
        <v>136</v>
      </c>
      <c r="C35" s="5">
        <v>92</v>
      </c>
      <c r="D35" s="5"/>
      <c r="E35" s="5">
        <v>203</v>
      </c>
      <c r="F35" s="5">
        <v>212</v>
      </c>
      <c r="G35" s="5"/>
      <c r="H35" s="5">
        <v>182</v>
      </c>
      <c r="I35" s="5">
        <v>118</v>
      </c>
      <c r="J35" s="5"/>
      <c r="K35" s="5">
        <v>134</v>
      </c>
      <c r="L35" s="5">
        <v>183</v>
      </c>
      <c r="M35" s="5"/>
    </row>
    <row r="36" spans="1:14" x14ac:dyDescent="0.3">
      <c r="A36" s="4">
        <v>30</v>
      </c>
      <c r="B36" s="6">
        <v>166</v>
      </c>
      <c r="C36" s="6"/>
      <c r="D36" s="6"/>
      <c r="E36" s="6">
        <v>233</v>
      </c>
      <c r="F36" s="6"/>
      <c r="G36" s="6"/>
      <c r="H36" s="6">
        <v>192</v>
      </c>
      <c r="I36" s="6">
        <v>115</v>
      </c>
      <c r="J36" s="6">
        <v>113</v>
      </c>
      <c r="K36" s="6">
        <v>158</v>
      </c>
      <c r="L36" s="6"/>
      <c r="M36" s="6">
        <v>113</v>
      </c>
    </row>
    <row r="37" spans="1:14" x14ac:dyDescent="0.3">
      <c r="A37" s="4">
        <v>31</v>
      </c>
      <c r="B37" s="5">
        <v>212</v>
      </c>
      <c r="C37" s="5"/>
      <c r="D37" s="5"/>
      <c r="E37" s="5"/>
      <c r="F37" s="5">
        <v>222</v>
      </c>
      <c r="G37" s="5"/>
      <c r="H37" s="5">
        <v>173</v>
      </c>
      <c r="I37" s="5"/>
      <c r="J37" s="5"/>
      <c r="K37" s="5">
        <v>133</v>
      </c>
      <c r="L37" s="5"/>
      <c r="M37" s="5">
        <v>37</v>
      </c>
    </row>
    <row r="38" spans="1:14" x14ac:dyDescent="0.3">
      <c r="A38" s="8"/>
      <c r="B38" s="9">
        <f t="shared" ref="B38" si="0">SUM(B7:B37)</f>
        <v>2940</v>
      </c>
      <c r="C38" s="9">
        <f t="shared" ref="C38:M38" si="1">SUM(C7:C37)</f>
        <v>2341</v>
      </c>
      <c r="D38" s="9">
        <f t="shared" si="1"/>
        <v>2887</v>
      </c>
      <c r="E38" s="9">
        <f t="shared" si="1"/>
        <v>3306</v>
      </c>
      <c r="F38" s="9">
        <f t="shared" si="1"/>
        <v>3397</v>
      </c>
      <c r="G38" s="9">
        <f t="shared" si="1"/>
        <v>3256</v>
      </c>
      <c r="H38" s="9">
        <f t="shared" si="1"/>
        <v>3973</v>
      </c>
      <c r="I38" s="9">
        <f t="shared" si="1"/>
        <v>2150</v>
      </c>
      <c r="J38" s="9">
        <f t="shared" si="1"/>
        <v>2033</v>
      </c>
      <c r="K38" s="9">
        <f t="shared" si="1"/>
        <v>2595</v>
      </c>
      <c r="L38" s="9">
        <f t="shared" si="1"/>
        <v>2936</v>
      </c>
      <c r="M38" s="9">
        <f t="shared" si="1"/>
        <v>2688</v>
      </c>
      <c r="N38" s="9">
        <f>SUM(B38:M38)</f>
        <v>34502</v>
      </c>
    </row>
    <row r="39" spans="1:14" x14ac:dyDescent="0.3">
      <c r="A39" s="10" t="s">
        <v>16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2">
        <f>N38/12</f>
        <v>2875.1666666666665</v>
      </c>
    </row>
    <row r="40" spans="1:14" x14ac:dyDescent="0.3">
      <c r="A40" s="10" t="s">
        <v>17</v>
      </c>
      <c r="M40" s="8"/>
      <c r="N40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62CC-1CDB-465E-AAB4-0BFEE121706D}">
  <dimension ref="A2:N40"/>
  <sheetViews>
    <sheetView view="pageBreakPreview" zoomScaleSheetLayoutView="100" workbookViewId="0">
      <selection activeCell="A4" sqref="A4"/>
    </sheetView>
  </sheetViews>
  <sheetFormatPr defaultRowHeight="15.6" x14ac:dyDescent="0.3"/>
  <sheetData>
    <row r="2" spans="1:14" x14ac:dyDescent="0.3">
      <c r="A2" s="1" t="s">
        <v>18</v>
      </c>
      <c r="B2" s="1"/>
      <c r="C2" s="1"/>
      <c r="D2" s="1"/>
      <c r="E2" s="1"/>
    </row>
    <row r="4" spans="1:14" x14ac:dyDescent="0.3">
      <c r="A4" s="1">
        <v>2024</v>
      </c>
    </row>
    <row r="5" spans="1:14" x14ac:dyDescent="0.3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</row>
    <row r="6" spans="1:14" ht="26.4" x14ac:dyDescent="0.3">
      <c r="A6" s="2" t="s">
        <v>14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15</v>
      </c>
      <c r="K6" s="3" t="s">
        <v>15</v>
      </c>
      <c r="L6" s="3" t="s">
        <v>15</v>
      </c>
      <c r="M6" s="3" t="s">
        <v>15</v>
      </c>
    </row>
    <row r="7" spans="1:14" x14ac:dyDescent="0.3">
      <c r="A7" s="4">
        <v>1</v>
      </c>
      <c r="B7" s="13">
        <v>7</v>
      </c>
      <c r="C7" s="13">
        <v>182</v>
      </c>
      <c r="D7" s="13">
        <v>222</v>
      </c>
      <c r="E7" s="13">
        <v>166</v>
      </c>
      <c r="F7" s="13">
        <v>37</v>
      </c>
      <c r="G7" s="13">
        <v>93</v>
      </c>
      <c r="H7" s="13">
        <v>230</v>
      </c>
      <c r="I7" s="13">
        <v>212</v>
      </c>
      <c r="J7" s="13">
        <v>4</v>
      </c>
      <c r="K7" s="13">
        <v>225</v>
      </c>
      <c r="L7" s="13">
        <v>47</v>
      </c>
      <c r="M7" s="13">
        <v>25</v>
      </c>
    </row>
    <row r="8" spans="1:14" x14ac:dyDescent="0.3">
      <c r="A8" s="4">
        <v>2</v>
      </c>
      <c r="B8" s="14">
        <v>232</v>
      </c>
      <c r="C8" s="14">
        <v>191</v>
      </c>
      <c r="D8" s="14">
        <v>62</v>
      </c>
      <c r="E8" s="14">
        <v>229</v>
      </c>
      <c r="F8" s="14">
        <v>208</v>
      </c>
      <c r="G8" s="14">
        <v>70</v>
      </c>
      <c r="H8" s="14">
        <v>207</v>
      </c>
      <c r="I8" s="14">
        <v>199</v>
      </c>
      <c r="J8" s="14">
        <v>216</v>
      </c>
      <c r="K8" s="14">
        <v>207</v>
      </c>
      <c r="L8" s="14">
        <v>104</v>
      </c>
      <c r="M8" s="14">
        <v>246</v>
      </c>
    </row>
    <row r="9" spans="1:14" x14ac:dyDescent="0.3">
      <c r="A9" s="4">
        <v>3</v>
      </c>
      <c r="B9" s="13">
        <v>206</v>
      </c>
      <c r="C9" s="13">
        <v>87</v>
      </c>
      <c r="D9" s="13">
        <v>18</v>
      </c>
      <c r="E9" s="13">
        <v>218</v>
      </c>
      <c r="F9" s="13">
        <v>209</v>
      </c>
      <c r="G9" s="13">
        <v>203</v>
      </c>
      <c r="H9" s="13">
        <v>191</v>
      </c>
      <c r="I9" s="13">
        <v>71</v>
      </c>
      <c r="J9" s="13">
        <v>197</v>
      </c>
      <c r="K9" s="13">
        <v>187</v>
      </c>
      <c r="L9" s="13">
        <v>23</v>
      </c>
      <c r="M9" s="13">
        <v>236</v>
      </c>
    </row>
    <row r="10" spans="1:14" x14ac:dyDescent="0.3">
      <c r="A10" s="4">
        <v>4</v>
      </c>
      <c r="B10" s="14">
        <v>184</v>
      </c>
      <c r="C10" s="14">
        <v>27</v>
      </c>
      <c r="D10" s="14">
        <v>248</v>
      </c>
      <c r="E10" s="14">
        <v>221</v>
      </c>
      <c r="F10" s="14">
        <v>79</v>
      </c>
      <c r="G10" s="14">
        <v>217</v>
      </c>
      <c r="H10" s="14">
        <v>220</v>
      </c>
      <c r="I10" s="14">
        <v>32</v>
      </c>
      <c r="J10" s="14">
        <v>200</v>
      </c>
      <c r="K10" s="14">
        <v>226</v>
      </c>
      <c r="L10" s="14">
        <v>241</v>
      </c>
      <c r="M10" s="14">
        <v>206</v>
      </c>
    </row>
    <row r="11" spans="1:14" x14ac:dyDescent="0.3">
      <c r="A11" s="4">
        <v>5</v>
      </c>
      <c r="B11" s="13">
        <v>250</v>
      </c>
      <c r="C11" s="13">
        <v>197</v>
      </c>
      <c r="D11" s="13">
        <v>226</v>
      </c>
      <c r="E11" s="13">
        <v>208</v>
      </c>
      <c r="F11" s="13">
        <v>20</v>
      </c>
      <c r="G11" s="13">
        <v>190</v>
      </c>
      <c r="H11" s="13">
        <v>238</v>
      </c>
      <c r="I11" s="13">
        <v>218</v>
      </c>
      <c r="J11" s="13">
        <v>188</v>
      </c>
      <c r="K11" s="13">
        <v>97</v>
      </c>
      <c r="L11" s="13">
        <v>230</v>
      </c>
      <c r="M11" s="13">
        <v>226</v>
      </c>
    </row>
    <row r="12" spans="1:14" x14ac:dyDescent="0.3">
      <c r="A12" s="4">
        <v>6</v>
      </c>
      <c r="B12" s="14">
        <v>66</v>
      </c>
      <c r="C12" s="14">
        <v>204</v>
      </c>
      <c r="D12" s="14">
        <v>206</v>
      </c>
      <c r="E12" s="14">
        <v>100</v>
      </c>
      <c r="F12" s="14">
        <v>228</v>
      </c>
      <c r="G12" s="14">
        <v>203</v>
      </c>
      <c r="H12" s="14">
        <v>85</v>
      </c>
      <c r="I12" s="14">
        <v>239</v>
      </c>
      <c r="J12" s="14">
        <v>213</v>
      </c>
      <c r="K12" s="14">
        <v>21</v>
      </c>
      <c r="L12" s="14">
        <v>201</v>
      </c>
      <c r="M12" s="14">
        <v>230</v>
      </c>
    </row>
    <row r="13" spans="1:14" x14ac:dyDescent="0.3">
      <c r="A13" s="4">
        <v>7</v>
      </c>
      <c r="B13" s="13">
        <v>20</v>
      </c>
      <c r="C13" s="13">
        <v>189</v>
      </c>
      <c r="D13" s="13">
        <v>210</v>
      </c>
      <c r="E13" s="13">
        <v>21</v>
      </c>
      <c r="F13" s="13">
        <v>228</v>
      </c>
      <c r="G13" s="13">
        <v>233</v>
      </c>
      <c r="H13" s="13">
        <v>10</v>
      </c>
      <c r="I13" s="13">
        <v>187</v>
      </c>
      <c r="J13" s="13">
        <v>56</v>
      </c>
      <c r="K13" s="13">
        <v>201</v>
      </c>
      <c r="L13" s="13">
        <v>226</v>
      </c>
      <c r="M13" s="13">
        <v>21</v>
      </c>
    </row>
    <row r="14" spans="1:14" x14ac:dyDescent="0.3">
      <c r="A14" s="4">
        <v>8</v>
      </c>
      <c r="B14" s="14">
        <v>219</v>
      </c>
      <c r="C14" s="14">
        <v>185</v>
      </c>
      <c r="D14" s="14">
        <v>209</v>
      </c>
      <c r="E14" s="14">
        <v>193</v>
      </c>
      <c r="F14" s="14">
        <v>212</v>
      </c>
      <c r="G14" s="14">
        <v>92</v>
      </c>
      <c r="H14" s="14">
        <v>193</v>
      </c>
      <c r="I14" s="14">
        <v>222</v>
      </c>
      <c r="J14" s="14">
        <v>9</v>
      </c>
      <c r="K14" s="14">
        <v>201</v>
      </c>
      <c r="L14" s="14">
        <v>236</v>
      </c>
      <c r="M14" s="14">
        <v>81</v>
      </c>
    </row>
    <row r="15" spans="1:14" x14ac:dyDescent="0.3">
      <c r="A15" s="4">
        <v>9</v>
      </c>
      <c r="B15" s="13">
        <v>199</v>
      </c>
      <c r="C15" s="13">
        <v>245</v>
      </c>
      <c r="D15" s="13">
        <v>58</v>
      </c>
      <c r="E15" s="13">
        <v>215</v>
      </c>
      <c r="F15" s="13">
        <v>305</v>
      </c>
      <c r="G15" s="13">
        <v>19</v>
      </c>
      <c r="H15" s="13">
        <v>198</v>
      </c>
      <c r="I15" s="13">
        <v>219</v>
      </c>
      <c r="J15" s="13">
        <v>220</v>
      </c>
      <c r="K15" s="13">
        <v>182</v>
      </c>
      <c r="L15" s="13">
        <v>121</v>
      </c>
      <c r="M15" s="13">
        <v>237</v>
      </c>
    </row>
    <row r="16" spans="1:14" x14ac:dyDescent="0.3">
      <c r="A16" s="4">
        <v>10</v>
      </c>
      <c r="B16" s="14">
        <v>187</v>
      </c>
      <c r="C16" s="14">
        <v>81</v>
      </c>
      <c r="D16" s="14">
        <v>20</v>
      </c>
      <c r="E16" s="14">
        <v>191</v>
      </c>
      <c r="F16" s="14">
        <v>177</v>
      </c>
      <c r="G16" s="14">
        <v>125</v>
      </c>
      <c r="H16" s="14">
        <v>208</v>
      </c>
      <c r="I16" s="14">
        <v>75</v>
      </c>
      <c r="J16" s="14">
        <v>213</v>
      </c>
      <c r="K16" s="14">
        <v>177</v>
      </c>
      <c r="L16" s="14">
        <v>21</v>
      </c>
      <c r="M16" s="14">
        <v>215</v>
      </c>
    </row>
    <row r="17" spans="1:13" x14ac:dyDescent="0.3">
      <c r="A17" s="4">
        <v>11</v>
      </c>
      <c r="B17" s="13">
        <v>202</v>
      </c>
      <c r="C17" s="13">
        <v>28</v>
      </c>
      <c r="D17" s="13">
        <v>256</v>
      </c>
      <c r="E17" s="13">
        <v>197</v>
      </c>
      <c r="F17" s="13">
        <v>85</v>
      </c>
      <c r="G17" s="13">
        <v>219</v>
      </c>
      <c r="H17" s="13">
        <v>157</v>
      </c>
      <c r="I17" s="13">
        <v>18</v>
      </c>
      <c r="J17" s="13">
        <v>217</v>
      </c>
      <c r="K17" s="13">
        <v>229</v>
      </c>
      <c r="L17" s="13">
        <v>210</v>
      </c>
      <c r="M17" s="13">
        <v>193</v>
      </c>
    </row>
    <row r="18" spans="1:13" x14ac:dyDescent="0.3">
      <c r="A18" s="4">
        <v>12</v>
      </c>
      <c r="B18" s="14">
        <v>239</v>
      </c>
      <c r="C18" s="14">
        <v>234</v>
      </c>
      <c r="D18" s="14">
        <v>265</v>
      </c>
      <c r="E18" s="14">
        <v>200</v>
      </c>
      <c r="F18" s="14">
        <v>20</v>
      </c>
      <c r="G18" s="14">
        <v>215</v>
      </c>
      <c r="H18" s="14">
        <v>179</v>
      </c>
      <c r="I18" s="14">
        <v>246</v>
      </c>
      <c r="J18" s="14">
        <v>188</v>
      </c>
      <c r="K18" s="14">
        <v>85</v>
      </c>
      <c r="L18" s="14">
        <v>228</v>
      </c>
      <c r="M18" s="14">
        <v>185</v>
      </c>
    </row>
    <row r="19" spans="1:13" x14ac:dyDescent="0.3">
      <c r="A19" s="4">
        <v>13</v>
      </c>
      <c r="B19" s="13">
        <v>62</v>
      </c>
      <c r="C19" s="13">
        <v>85</v>
      </c>
      <c r="D19" s="13">
        <v>244</v>
      </c>
      <c r="E19" s="13">
        <v>70</v>
      </c>
      <c r="F19" s="13">
        <v>236</v>
      </c>
      <c r="G19" s="15">
        <v>200</v>
      </c>
      <c r="H19" s="13">
        <v>70</v>
      </c>
      <c r="I19" s="13">
        <v>251</v>
      </c>
      <c r="J19" s="13">
        <v>191</v>
      </c>
      <c r="K19" s="13">
        <v>19</v>
      </c>
      <c r="L19" s="13">
        <v>200</v>
      </c>
      <c r="M19" s="13">
        <v>208</v>
      </c>
    </row>
    <row r="20" spans="1:13" x14ac:dyDescent="0.3">
      <c r="A20" s="4">
        <v>14</v>
      </c>
      <c r="B20" s="14">
        <v>3</v>
      </c>
      <c r="C20" s="14">
        <v>219</v>
      </c>
      <c r="D20" s="14">
        <v>220</v>
      </c>
      <c r="E20" s="14">
        <v>19</v>
      </c>
      <c r="F20" s="14">
        <v>233</v>
      </c>
      <c r="G20" s="14">
        <v>246</v>
      </c>
      <c r="H20" s="14">
        <v>14</v>
      </c>
      <c r="I20" s="14">
        <v>264</v>
      </c>
      <c r="J20" s="14">
        <v>85</v>
      </c>
      <c r="K20" s="14">
        <v>186</v>
      </c>
      <c r="L20" s="14">
        <v>194</v>
      </c>
      <c r="M20" s="14">
        <v>95</v>
      </c>
    </row>
    <row r="21" spans="1:13" x14ac:dyDescent="0.3">
      <c r="A21" s="4">
        <v>15</v>
      </c>
      <c r="B21" s="13">
        <v>195</v>
      </c>
      <c r="C21" s="13">
        <v>227</v>
      </c>
      <c r="D21" s="13">
        <v>212</v>
      </c>
      <c r="E21" s="13">
        <v>241</v>
      </c>
      <c r="F21" s="13">
        <v>208</v>
      </c>
      <c r="G21" s="13">
        <v>127</v>
      </c>
      <c r="H21" s="13">
        <v>218</v>
      </c>
      <c r="I21" s="13">
        <v>33</v>
      </c>
      <c r="J21" s="13">
        <v>26</v>
      </c>
      <c r="K21" s="13">
        <v>224</v>
      </c>
      <c r="L21" s="13">
        <v>205</v>
      </c>
      <c r="M21" s="13">
        <v>1</v>
      </c>
    </row>
    <row r="22" spans="1:13" x14ac:dyDescent="0.3">
      <c r="A22" s="4">
        <v>16</v>
      </c>
      <c r="B22" s="14">
        <v>198</v>
      </c>
      <c r="C22" s="14">
        <v>245</v>
      </c>
      <c r="D22" s="14">
        <v>54</v>
      </c>
      <c r="E22" s="14">
        <v>250</v>
      </c>
      <c r="F22" s="14">
        <v>167</v>
      </c>
      <c r="G22" s="14">
        <v>18</v>
      </c>
      <c r="H22" s="14">
        <v>225</v>
      </c>
      <c r="I22" s="14">
        <v>257</v>
      </c>
      <c r="J22" s="14">
        <v>174</v>
      </c>
      <c r="K22" s="14">
        <v>191</v>
      </c>
      <c r="L22" s="14">
        <v>72</v>
      </c>
      <c r="M22" s="14">
        <v>214</v>
      </c>
    </row>
    <row r="23" spans="1:13" x14ac:dyDescent="0.3">
      <c r="A23" s="4">
        <v>17</v>
      </c>
      <c r="B23" s="13">
        <v>221</v>
      </c>
      <c r="C23" s="13">
        <v>111</v>
      </c>
      <c r="D23" s="13">
        <v>2</v>
      </c>
      <c r="E23" s="13">
        <v>225</v>
      </c>
      <c r="F23" s="13">
        <v>204</v>
      </c>
      <c r="G23" s="13">
        <v>205</v>
      </c>
      <c r="H23" s="13">
        <v>191</v>
      </c>
      <c r="I23" s="13">
        <v>139</v>
      </c>
      <c r="J23" s="13">
        <v>194</v>
      </c>
      <c r="K23" s="13">
        <v>194</v>
      </c>
      <c r="L23" s="13">
        <v>32</v>
      </c>
      <c r="M23" s="13">
        <v>252</v>
      </c>
    </row>
    <row r="24" spans="1:13" x14ac:dyDescent="0.3">
      <c r="A24" s="4">
        <v>18</v>
      </c>
      <c r="B24" s="14">
        <v>211</v>
      </c>
      <c r="C24" s="14">
        <v>19</v>
      </c>
      <c r="D24" s="14">
        <v>224</v>
      </c>
      <c r="E24" s="14">
        <v>221</v>
      </c>
      <c r="F24" s="14">
        <v>60</v>
      </c>
      <c r="G24" s="14">
        <v>216</v>
      </c>
      <c r="H24" s="14">
        <v>201</v>
      </c>
      <c r="I24" s="14">
        <v>35</v>
      </c>
      <c r="J24" s="14">
        <v>193</v>
      </c>
      <c r="K24" s="14">
        <v>192</v>
      </c>
      <c r="L24" s="14">
        <v>269</v>
      </c>
      <c r="M24" s="14">
        <v>205</v>
      </c>
    </row>
    <row r="25" spans="1:13" x14ac:dyDescent="0.3">
      <c r="A25" s="4">
        <v>19</v>
      </c>
      <c r="B25" s="13">
        <v>211</v>
      </c>
      <c r="C25" s="13">
        <v>212</v>
      </c>
      <c r="D25" s="13">
        <v>238</v>
      </c>
      <c r="E25" s="13">
        <v>256</v>
      </c>
      <c r="F25" s="13">
        <v>19</v>
      </c>
      <c r="G25" s="13">
        <v>201</v>
      </c>
      <c r="H25" s="13">
        <v>228</v>
      </c>
      <c r="I25" s="13">
        <v>217</v>
      </c>
      <c r="J25" s="13">
        <v>206</v>
      </c>
      <c r="K25" s="13">
        <v>70</v>
      </c>
      <c r="L25" s="13">
        <v>239</v>
      </c>
      <c r="M25" s="13">
        <v>221</v>
      </c>
    </row>
    <row r="26" spans="1:13" x14ac:dyDescent="0.3">
      <c r="A26" s="4">
        <v>20</v>
      </c>
      <c r="B26" s="14">
        <v>85</v>
      </c>
      <c r="C26" s="14">
        <v>223</v>
      </c>
      <c r="D26" s="14">
        <v>231</v>
      </c>
      <c r="E26" s="14">
        <v>58</v>
      </c>
      <c r="F26" s="14">
        <v>228</v>
      </c>
      <c r="G26" s="14">
        <v>204</v>
      </c>
      <c r="H26" s="14">
        <v>103</v>
      </c>
      <c r="I26" s="14">
        <v>245</v>
      </c>
      <c r="J26" s="14">
        <v>187</v>
      </c>
      <c r="K26" s="14">
        <v>19</v>
      </c>
      <c r="L26" s="14">
        <v>201</v>
      </c>
      <c r="M26" s="14">
        <v>260</v>
      </c>
    </row>
    <row r="27" spans="1:13" x14ac:dyDescent="0.3">
      <c r="A27" s="4">
        <v>21</v>
      </c>
      <c r="B27" s="13">
        <v>20</v>
      </c>
      <c r="C27" s="13">
        <v>173</v>
      </c>
      <c r="D27" s="13">
        <v>248</v>
      </c>
      <c r="E27" s="13">
        <v>21</v>
      </c>
      <c r="F27" s="13">
        <v>241</v>
      </c>
      <c r="G27" s="13">
        <v>232</v>
      </c>
      <c r="H27" s="13">
        <v>21</v>
      </c>
      <c r="I27" s="13">
        <v>206</v>
      </c>
      <c r="J27" s="13">
        <v>81</v>
      </c>
      <c r="K27" s="13">
        <v>212</v>
      </c>
      <c r="L27" s="13">
        <v>204</v>
      </c>
      <c r="M27" s="13">
        <v>124</v>
      </c>
    </row>
    <row r="28" spans="1:13" x14ac:dyDescent="0.3">
      <c r="A28" s="4">
        <v>22</v>
      </c>
      <c r="B28" s="14">
        <v>186</v>
      </c>
      <c r="C28" s="14">
        <v>184</v>
      </c>
      <c r="D28" s="14">
        <v>272</v>
      </c>
      <c r="E28" s="14">
        <v>256</v>
      </c>
      <c r="F28" s="14">
        <v>211</v>
      </c>
      <c r="G28" s="14">
        <v>87</v>
      </c>
      <c r="H28" s="14">
        <v>237</v>
      </c>
      <c r="I28" s="14">
        <v>187</v>
      </c>
      <c r="J28" s="14">
        <v>23</v>
      </c>
      <c r="K28" s="14">
        <v>217</v>
      </c>
      <c r="L28" s="14">
        <v>216</v>
      </c>
      <c r="M28" s="14">
        <v>28</v>
      </c>
    </row>
    <row r="29" spans="1:13" x14ac:dyDescent="0.3">
      <c r="A29" s="4">
        <v>23</v>
      </c>
      <c r="B29" s="13">
        <v>180</v>
      </c>
      <c r="C29" s="13">
        <v>197</v>
      </c>
      <c r="D29" s="13">
        <v>105</v>
      </c>
      <c r="E29" s="13">
        <v>255</v>
      </c>
      <c r="F29" s="13">
        <v>206</v>
      </c>
      <c r="G29" s="13">
        <v>18</v>
      </c>
      <c r="H29" s="13">
        <v>231</v>
      </c>
      <c r="I29" s="13">
        <v>204</v>
      </c>
      <c r="J29" s="13">
        <v>195</v>
      </c>
      <c r="K29" s="13">
        <v>220</v>
      </c>
      <c r="L29" s="13">
        <v>99</v>
      </c>
      <c r="M29" s="13">
        <v>243</v>
      </c>
    </row>
    <row r="30" spans="1:13" x14ac:dyDescent="0.3">
      <c r="A30" s="4">
        <v>24</v>
      </c>
      <c r="B30" s="14">
        <v>148</v>
      </c>
      <c r="C30" s="6">
        <v>64</v>
      </c>
      <c r="D30" s="14">
        <v>11</v>
      </c>
      <c r="E30" s="14">
        <v>242</v>
      </c>
      <c r="F30" s="14">
        <v>244</v>
      </c>
      <c r="G30" s="14">
        <v>186</v>
      </c>
      <c r="H30" s="14">
        <v>221</v>
      </c>
      <c r="I30" s="14">
        <v>63</v>
      </c>
      <c r="J30" s="14">
        <v>206</v>
      </c>
      <c r="K30" s="14">
        <v>182</v>
      </c>
      <c r="L30" s="14">
        <v>42</v>
      </c>
      <c r="M30" s="14">
        <v>231</v>
      </c>
    </row>
    <row r="31" spans="1:13" x14ac:dyDescent="0.3">
      <c r="A31" s="4">
        <v>25</v>
      </c>
      <c r="B31" s="13">
        <v>152</v>
      </c>
      <c r="C31" s="5">
        <v>19</v>
      </c>
      <c r="D31" s="13">
        <v>226</v>
      </c>
      <c r="E31" s="13">
        <v>65</v>
      </c>
      <c r="F31" s="13">
        <v>73</v>
      </c>
      <c r="G31" s="13">
        <v>205</v>
      </c>
      <c r="H31" s="13">
        <v>235</v>
      </c>
      <c r="I31" s="13">
        <v>17</v>
      </c>
      <c r="J31" s="16">
        <v>223</v>
      </c>
      <c r="K31" s="13">
        <v>221</v>
      </c>
      <c r="L31" s="13">
        <v>241</v>
      </c>
      <c r="M31" s="13"/>
    </row>
    <row r="32" spans="1:13" x14ac:dyDescent="0.3">
      <c r="A32" s="4">
        <v>26</v>
      </c>
      <c r="B32" s="14">
        <v>153</v>
      </c>
      <c r="C32" s="14">
        <v>233</v>
      </c>
      <c r="D32" s="14">
        <v>215</v>
      </c>
      <c r="E32" s="17">
        <v>250</v>
      </c>
      <c r="F32" s="14">
        <v>4</v>
      </c>
      <c r="G32" s="14">
        <v>218</v>
      </c>
      <c r="H32" s="14">
        <v>190</v>
      </c>
      <c r="I32" s="14">
        <v>228</v>
      </c>
      <c r="J32" s="14">
        <v>208</v>
      </c>
      <c r="K32" s="14">
        <v>74</v>
      </c>
      <c r="L32" s="14">
        <v>209</v>
      </c>
      <c r="M32" s="14">
        <v>214</v>
      </c>
    </row>
    <row r="33" spans="1:14" x14ac:dyDescent="0.3">
      <c r="A33" s="4">
        <v>27</v>
      </c>
      <c r="B33" s="13">
        <v>58</v>
      </c>
      <c r="C33" s="13">
        <v>203</v>
      </c>
      <c r="D33" s="13">
        <v>225</v>
      </c>
      <c r="E33" s="13">
        <v>113</v>
      </c>
      <c r="F33" s="13">
        <v>227</v>
      </c>
      <c r="G33" s="13">
        <v>215</v>
      </c>
      <c r="H33" s="13">
        <v>93</v>
      </c>
      <c r="I33" s="13">
        <v>206</v>
      </c>
      <c r="J33" s="13">
        <v>209</v>
      </c>
      <c r="K33" s="13">
        <v>22</v>
      </c>
      <c r="L33" s="13">
        <v>204</v>
      </c>
      <c r="M33" s="13">
        <v>123</v>
      </c>
    </row>
    <row r="34" spans="1:14" x14ac:dyDescent="0.3">
      <c r="A34" s="4">
        <v>28</v>
      </c>
      <c r="B34" s="14">
        <v>17</v>
      </c>
      <c r="C34" s="14">
        <v>208</v>
      </c>
      <c r="D34" s="14">
        <v>235</v>
      </c>
      <c r="E34" s="14">
        <v>21</v>
      </c>
      <c r="F34" s="14">
        <v>234</v>
      </c>
      <c r="G34" s="14">
        <v>245</v>
      </c>
      <c r="H34" s="14">
        <v>9</v>
      </c>
      <c r="I34" s="14">
        <v>197</v>
      </c>
      <c r="J34" s="14">
        <v>77</v>
      </c>
      <c r="K34" s="14">
        <v>217</v>
      </c>
      <c r="L34" s="14">
        <v>224</v>
      </c>
      <c r="M34" s="14">
        <v>103</v>
      </c>
    </row>
    <row r="35" spans="1:14" x14ac:dyDescent="0.3">
      <c r="A35" s="4">
        <v>29</v>
      </c>
      <c r="B35" s="13">
        <v>453</v>
      </c>
      <c r="C35" s="13">
        <v>187</v>
      </c>
      <c r="D35" s="13">
        <v>45</v>
      </c>
      <c r="E35" s="13">
        <v>263</v>
      </c>
      <c r="F35" s="13">
        <v>239</v>
      </c>
      <c r="G35" s="13">
        <v>110</v>
      </c>
      <c r="H35" s="13">
        <v>220</v>
      </c>
      <c r="I35" s="13">
        <v>203</v>
      </c>
      <c r="J35" s="13">
        <v>48</v>
      </c>
      <c r="K35" s="13">
        <v>211</v>
      </c>
      <c r="L35" s="13">
        <v>190</v>
      </c>
      <c r="M35" s="13">
        <v>38</v>
      </c>
    </row>
    <row r="36" spans="1:14" x14ac:dyDescent="0.3">
      <c r="A36" s="4">
        <v>30</v>
      </c>
      <c r="B36" s="14">
        <v>203</v>
      </c>
      <c r="C36" s="14"/>
      <c r="D36" s="14">
        <v>104</v>
      </c>
      <c r="E36" s="14">
        <v>268</v>
      </c>
      <c r="F36" s="14">
        <v>57</v>
      </c>
      <c r="G36" s="14">
        <v>24</v>
      </c>
      <c r="H36" s="14">
        <v>195</v>
      </c>
      <c r="I36" s="14">
        <v>191</v>
      </c>
      <c r="J36" s="14">
        <v>209</v>
      </c>
      <c r="K36" s="14">
        <v>225</v>
      </c>
      <c r="L36" s="14">
        <v>112</v>
      </c>
      <c r="M36" s="14">
        <v>158</v>
      </c>
    </row>
    <row r="37" spans="1:14" x14ac:dyDescent="0.3">
      <c r="A37" s="4">
        <v>31</v>
      </c>
      <c r="B37" s="13">
        <v>156</v>
      </c>
      <c r="C37" s="13"/>
      <c r="D37" s="13">
        <v>2</v>
      </c>
      <c r="E37" s="13"/>
      <c r="F37" s="13">
        <v>224</v>
      </c>
      <c r="G37" s="13"/>
      <c r="H37" s="13">
        <v>202</v>
      </c>
      <c r="I37" s="13">
        <v>63</v>
      </c>
      <c r="J37" s="13"/>
      <c r="K37" s="13">
        <v>217</v>
      </c>
      <c r="L37" s="13"/>
      <c r="M37" s="13">
        <v>191</v>
      </c>
    </row>
    <row r="38" spans="1:14" x14ac:dyDescent="0.3">
      <c r="A38" s="8"/>
      <c r="B38" s="18">
        <f t="shared" ref="B38" si="0">SUM(B7:B37)</f>
        <v>4923</v>
      </c>
      <c r="C38" s="18">
        <f t="shared" ref="C38:E38" si="1">SUM(C7:C37)</f>
        <v>4659</v>
      </c>
      <c r="D38" s="18">
        <f t="shared" si="1"/>
        <v>5113</v>
      </c>
      <c r="E38" s="18">
        <f t="shared" si="1"/>
        <v>5253</v>
      </c>
      <c r="F38" s="18">
        <f t="shared" ref="F38" si="2">SUM(F7:F37)</f>
        <v>5123</v>
      </c>
      <c r="G38" s="18">
        <f t="shared" ref="G38" si="3">SUM(G7:G37)</f>
        <v>4836</v>
      </c>
      <c r="H38" s="18">
        <f t="shared" ref="H38" si="4">SUM(H7:H37)</f>
        <v>5220</v>
      </c>
      <c r="I38" s="18">
        <f t="shared" ref="I38:M38" si="5">SUM(I7:I37)</f>
        <v>5144</v>
      </c>
      <c r="J38" s="18">
        <f t="shared" si="5"/>
        <v>4656</v>
      </c>
      <c r="K38" s="18">
        <f t="shared" si="5"/>
        <v>5151</v>
      </c>
      <c r="L38" s="18">
        <f t="shared" si="5"/>
        <v>5041</v>
      </c>
      <c r="M38" s="18">
        <f t="shared" si="5"/>
        <v>5010</v>
      </c>
      <c r="N38" s="9">
        <f>SUM(B38:M38)</f>
        <v>60129</v>
      </c>
    </row>
    <row r="39" spans="1:14" x14ac:dyDescent="0.3">
      <c r="A39" s="10" t="s">
        <v>16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2">
        <f>N38/12</f>
        <v>5010.75</v>
      </c>
    </row>
    <row r="40" spans="1:14" x14ac:dyDescent="0.3">
      <c r="A40" s="10" t="s">
        <v>17</v>
      </c>
      <c r="M40" s="8"/>
      <c r="N40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Terminal Norte_pesados</vt:lpstr>
      <vt:lpstr>TGraneis Solidos_pesados</vt:lpstr>
      <vt:lpstr>TGraneis_Liquidos_pesados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Manuel</dc:creator>
  <cp:lastModifiedBy>Daniel Corujo</cp:lastModifiedBy>
  <dcterms:created xsi:type="dcterms:W3CDTF">2025-10-07T16:30:32Z</dcterms:created>
  <dcterms:modified xsi:type="dcterms:W3CDTF">2025-11-27T12:54:44Z</dcterms:modified>
</cp:coreProperties>
</file>